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code labs\"/>
    </mc:Choice>
  </mc:AlternateContent>
  <xr:revisionPtr revIDLastSave="0" documentId="13_ncr:1_{9D5AC304-4058-46FB-BCBA-1E224791A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analysis" sheetId="2" r:id="rId1"/>
    <sheet name="Payment analysis" sheetId="3" r:id="rId2"/>
    <sheet name="Order status analysis" sheetId="4" r:id="rId3"/>
    <sheet name="Refferal analysis" sheetId="5" r:id="rId4"/>
    <sheet name="data set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1" l="1"/>
  <c r="R26" i="1"/>
  <c r="R25" i="1"/>
  <c r="R24" i="1"/>
  <c r="R23" i="1"/>
  <c r="R20" i="1"/>
  <c r="R19" i="1"/>
  <c r="R18" i="1"/>
  <c r="R17" i="1"/>
  <c r="R16" i="1"/>
  <c r="R13" i="1"/>
  <c r="R12" i="1"/>
  <c r="R11" i="1"/>
  <c r="R10" i="1"/>
  <c r="R9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<sst xmlns="http://schemas.openxmlformats.org/spreadsheetml/2006/main" count="10577" uniqueCount="4312">
  <si>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</si>
  <si>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</si>
  <si>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</si>
  <si>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</si>
  <si>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</si>
  <si>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</si>
  <si>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</si>
  <si>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</si>
  <si>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</si>
  <si>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</si>
  <si>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</si>
  <si>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</si>
  <si>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</si>
  <si>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</si>
  <si>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</si>
  <si>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</si>
  <si>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</si>
  <si>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</si>
  <si>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</si>
  <si>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</si>
  <si>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</si>
  <si>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</si>
  <si>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</si>
  <si>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</si>
  <si>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</si>
  <si>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</si>
  <si>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</si>
  <si>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</si>
  <si>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</si>
  <si>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</si>
  <si>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</si>
  <si>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</si>
  <si>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</si>
  <si>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</si>
  <si>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</si>
  <si>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</si>
  <si>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</si>
  <si>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</si>
  <si>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</si>
  <si>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</si>
  <si>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</si>
  <si>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</si>
  <si>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</si>
  <si>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</si>
  <si>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</si>
  <si>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</si>
  <si>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</si>
  <si>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</si>
  <si>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</si>
  <si>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</si>
  <si>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</si>
  <si>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</si>
  <si>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</si>
  <si>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</si>
  <si>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</si>
  <si>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</si>
  <si>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</si>
  <si>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</si>
  <si>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</si>
  <si>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</si>
  <si>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</si>
  <si>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</si>
  <si>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</si>
  <si>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</si>
  <si>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</si>
  <si>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</si>
  <si>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</si>
  <si>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</si>
  <si>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</si>
  <si>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</si>
  <si>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</si>
  <si>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</si>
  <si>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</si>
  <si>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</si>
  <si>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</si>
  <si>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</si>
  <si>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</si>
  <si>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</si>
  <si>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</si>
  <si>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</si>
  <si>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</si>
  <si>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</si>
  <si>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</si>
  <si>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</si>
  <si>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</si>
  <si>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</si>
  <si>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</si>
  <si>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</si>
  <si>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</si>
  <si>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</si>
  <si>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</si>
  <si>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</si>
  <si>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</si>
  <si>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</si>
  <si>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</si>
  <si>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</si>
  <si>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</si>
  <si>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</si>
  <si>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</si>
  <si>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</si>
  <si>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</si>
  <si>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</si>
  <si>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</si>
  <si>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</si>
  <si>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</si>
  <si>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</si>
  <si>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</si>
  <si>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</si>
  <si>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</si>
  <si>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</si>
  <si>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</si>
  <si>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</si>
  <si>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</si>
  <si>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</si>
  <si>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</si>
  <si>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</si>
  <si>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</si>
  <si>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</si>
  <si>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</si>
  <si>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</si>
  <si>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</si>
  <si>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</si>
  <si>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</si>
  <si>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</si>
  <si>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</si>
  <si>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</si>
  <si>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</si>
  <si>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</si>
  <si>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</si>
  <si>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</si>
  <si>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</si>
  <si>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</si>
  <si>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</si>
  <si>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</si>
  <si>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</si>
  <si>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</si>
  <si>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</si>
  <si>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</si>
  <si>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</si>
  <si>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</si>
  <si>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</si>
  <si>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</si>
  <si>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</si>
  <si>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</si>
  <si>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</si>
  <si>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</si>
  <si>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</si>
  <si>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</si>
  <si>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</si>
  <si>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</si>
  <si>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</si>
  <si>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</si>
  <si>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</si>
  <si>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</si>
  <si>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</si>
  <si>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</si>
  <si>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</si>
  <si>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</si>
  <si>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</si>
  <si>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</si>
  <si>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</si>
  <si>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</si>
  <si>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</si>
  <si>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</si>
  <si>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</si>
  <si>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</si>
  <si>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</si>
  <si>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</si>
  <si>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</si>
  <si>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</si>
  <si>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</si>
  <si>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</si>
  <si>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</si>
  <si>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</si>
  <si>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</si>
  <si>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</si>
  <si>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</si>
  <si>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</si>
  <si>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</si>
  <si>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</si>
  <si>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</si>
  <si>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</si>
  <si>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</si>
  <si>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</si>
  <si>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</si>
  <si>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</si>
  <si>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</si>
  <si>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</si>
  <si>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</si>
  <si>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</si>
  <si>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</si>
  <si>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</si>
  <si>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</si>
  <si>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</si>
  <si>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</si>
  <si>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</si>
  <si>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</si>
  <si>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</si>
  <si>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</si>
  <si>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</si>
  <si>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</si>
  <si>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</si>
  <si>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</si>
  <si>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</si>
  <si>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</si>
  <si>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</si>
  <si>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</si>
  <si>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</si>
  <si>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</si>
  <si>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</si>
  <si>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</si>
  <si>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</si>
  <si>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</si>
  <si>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</si>
  <si>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</si>
  <si>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</si>
  <si>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</si>
  <si>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</si>
  <si>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</si>
  <si>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</si>
  <si>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</si>
  <si>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</si>
  <si>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</si>
  <si>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</si>
  <si>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</si>
  <si>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</si>
  <si>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</si>
  <si>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</si>
  <si>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</si>
  <si>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</si>
  <si>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</si>
  <si>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</si>
  <si>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</si>
  <si>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</si>
  <si>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</si>
  <si>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</si>
  <si>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</si>
  <si>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</si>
  <si>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</si>
  <si>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</si>
  <si>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</si>
  <si>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</si>
  <si>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</si>
  <si>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</si>
  <si>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</si>
  <si>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</si>
  <si>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</si>
  <si>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</si>
  <si>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</si>
  <si>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</si>
  <si>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</si>
  <si>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</si>
  <si>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</si>
  <si>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</si>
  <si>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</si>
  <si>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</si>
  <si>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</si>
  <si>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</si>
  <si>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</si>
  <si>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</si>
  <si>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</si>
  <si>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</si>
  <si>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</si>
  <si>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</si>
  <si>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</si>
  <si>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</si>
  <si>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</si>
  <si>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</si>
  <si>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</si>
  <si>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</si>
  <si>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</si>
  <si>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</si>
  <si>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</si>
  <si>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</si>
  <si>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</si>
  <si>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</si>
  <si>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</si>
  <si>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</si>
  <si>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</si>
  <si>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</si>
  <si>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</si>
  <si>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</si>
  <si>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</si>
  <si>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</si>
  <si>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</si>
  <si>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</si>
  <si>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</si>
  <si>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</si>
  <si>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</si>
  <si>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</si>
  <si>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</si>
  <si>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</si>
  <si>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</si>
  <si>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</si>
  <si>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</si>
  <si>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</si>
  <si>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</si>
  <si>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</si>
  <si>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</si>
  <si>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</si>
  <si>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</si>
  <si>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</si>
  <si>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</si>
  <si>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</si>
  <si>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</si>
  <si>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</si>
  <si>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</si>
  <si>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</si>
  <si>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</si>
  <si>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</si>
  <si>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</si>
  <si>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</si>
  <si>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</si>
  <si>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</si>
  <si>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</si>
  <si>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</si>
  <si>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</si>
  <si>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</si>
  <si>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</si>
  <si>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</si>
  <si>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</si>
  <si>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</si>
  <si>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</si>
  <si>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</si>
  <si>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</si>
  <si>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</si>
  <si>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</si>
  <si>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</si>
  <si>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</si>
  <si>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</si>
  <si>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</si>
  <si>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</si>
  <si>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</si>
  <si>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</si>
  <si>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</si>
  <si>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</si>
  <si>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</si>
  <si>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</si>
  <si>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</si>
  <si>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</si>
  <si>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</si>
  <si>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</si>
  <si>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</si>
  <si>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</si>
  <si>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</si>
  <si>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</si>
  <si>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</si>
  <si>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</si>
  <si>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</si>
  <si>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</si>
  <si>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</si>
  <si>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</si>
  <si>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</si>
  <si>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</si>
  <si>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</si>
  <si>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</si>
  <si>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</si>
  <si>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</si>
  <si>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</si>
  <si>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</si>
  <si>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</si>
  <si>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</si>
  <si>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</si>
  <si>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</si>
  <si>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</si>
  <si>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</si>
  <si>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</si>
  <si>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</si>
  <si>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</si>
  <si>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</si>
  <si>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</si>
  <si>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</si>
  <si>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</si>
  <si>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</si>
  <si>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</si>
  <si>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</si>
  <si>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</si>
  <si>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</si>
  <si>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</si>
  <si>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</si>
  <si>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</si>
  <si>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</si>
  <si>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</si>
  <si>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</si>
  <si>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</si>
  <si>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</si>
  <si>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</si>
  <si>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</si>
  <si>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</si>
  <si>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</si>
  <si>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</si>
  <si>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</si>
  <si>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</si>
  <si>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</si>
  <si>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</si>
  <si>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</si>
  <si>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</si>
  <si>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</si>
  <si>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</si>
  <si>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</si>
  <si>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</si>
  <si>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</si>
  <si>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</si>
  <si>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</si>
  <si>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</si>
  <si>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</si>
  <si>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</si>
  <si>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</si>
  <si>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</si>
  <si>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</si>
  <si>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</si>
  <si>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</si>
  <si>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</si>
  <si>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</si>
  <si>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</si>
  <si>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</si>
  <si>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</si>
  <si>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</si>
  <si>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</si>
  <si>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</si>
  <si>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</si>
  <si>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</si>
  <si>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</si>
  <si>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</si>
  <si>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</si>
  <si>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</si>
  <si>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</si>
  <si>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</si>
  <si>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</si>
  <si>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</si>
  <si>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</si>
  <si>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</si>
  <si>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</si>
  <si>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</si>
  <si>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</si>
  <si>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</si>
  <si>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</si>
  <si>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</si>
  <si>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</si>
  <si>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</si>
  <si>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</si>
  <si>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</si>
  <si>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</si>
  <si>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</si>
  <si>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</si>
  <si>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</si>
  <si>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</si>
  <si>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</si>
  <si>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</si>
  <si>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</si>
  <si>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</si>
  <si>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</si>
  <si>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</si>
  <si>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</si>
  <si>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</si>
  <si>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</si>
  <si>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</si>
  <si>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</si>
  <si>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</si>
  <si>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</si>
  <si>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</si>
  <si>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</si>
  <si>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</si>
  <si>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</si>
  <si>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</si>
  <si>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</si>
  <si>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</si>
  <si>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</si>
  <si>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</si>
  <si>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</si>
  <si>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</si>
  <si>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</si>
  <si>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</si>
  <si>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</si>
  <si>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</si>
  <si>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</si>
  <si>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</si>
  <si>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</si>
  <si>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</si>
  <si>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</si>
  <si>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</si>
  <si>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</si>
  <si>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</si>
  <si>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</si>
  <si>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</si>
  <si>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</si>
  <si>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</si>
  <si>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</si>
  <si>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</si>
  <si>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</si>
  <si>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</si>
  <si>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</si>
  <si>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</si>
  <si>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</si>
  <si>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</si>
  <si>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</si>
  <si>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</si>
  <si>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</si>
  <si>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</si>
  <si>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</si>
  <si>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</si>
  <si>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</si>
  <si>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</si>
  <si>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</si>
  <si>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</si>
  <si>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</si>
  <si>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</si>
  <si>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</si>
  <si>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</si>
  <si>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</si>
  <si>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</si>
  <si>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</si>
  <si>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</si>
  <si>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</si>
  <si>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</si>
  <si>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</si>
  <si>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</si>
  <si>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</si>
  <si>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</si>
  <si>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</si>
  <si>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</si>
  <si>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</si>
  <si>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</si>
  <si>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</si>
  <si>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</si>
  <si>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</si>
  <si>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</si>
  <si>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</si>
  <si>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</si>
  <si>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</si>
  <si>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</si>
  <si>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</si>
  <si>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</si>
  <si>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</si>
  <si>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</si>
  <si>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</si>
  <si>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</si>
  <si>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</si>
  <si>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</si>
  <si>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</si>
  <si>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</si>
  <si>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</si>
  <si>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</si>
  <si>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</si>
  <si>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</si>
  <si>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</si>
  <si>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</si>
  <si>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</si>
  <si>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</si>
  <si>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</si>
  <si>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</si>
  <si>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</si>
  <si>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</si>
  <si>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</si>
  <si>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</si>
  <si>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</si>
  <si>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</si>
  <si>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</si>
  <si>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</si>
  <si>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</si>
  <si>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</si>
  <si>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</si>
  <si>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</si>
  <si>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</si>
  <si>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</si>
  <si>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</si>
  <si>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</si>
  <si>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</si>
  <si>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</si>
  <si>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</si>
  <si>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</si>
  <si>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</si>
  <si>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</si>
  <si>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</si>
  <si>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</si>
  <si>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</si>
  <si>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</si>
  <si>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</si>
  <si>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</si>
  <si>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</si>
  <si>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</si>
  <si>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</si>
  <si>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</si>
  <si>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</si>
  <si>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</si>
  <si>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</si>
  <si>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</si>
  <si>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</si>
  <si>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</si>
  <si>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</si>
  <si>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</si>
  <si>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</si>
  <si>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</si>
  <si>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</si>
  <si>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</si>
  <si>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</si>
  <si>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</si>
  <si>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</si>
  <si>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</si>
  <si>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</si>
  <si>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</si>
  <si>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</si>
  <si>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</si>
  <si>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</si>
  <si>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</si>
  <si>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</si>
  <si>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</si>
  <si>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</si>
  <si>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</si>
  <si>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</si>
  <si>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</si>
  <si>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</si>
  <si>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</si>
  <si>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</si>
  <si>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</si>
  <si>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</si>
  <si>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</si>
  <si>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</si>
  <si>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</si>
  <si>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</si>
  <si>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</si>
  <si>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</si>
  <si>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</si>
  <si>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</si>
  <si>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</si>
  <si>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</si>
  <si>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</si>
  <si>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</si>
  <si>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</si>
  <si>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</si>
  <si>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</si>
  <si>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</si>
  <si>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</si>
  <si>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</si>
  <si>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</si>
  <si>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</si>
  <si>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</si>
  <si>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</si>
  <si>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</si>
  <si>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</si>
  <si>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</si>
  <si>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</si>
  <si>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</si>
  <si>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</si>
  <si>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</si>
  <si>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</si>
  <si>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</si>
  <si>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</si>
  <si>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</si>
  <si>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</si>
  <si>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</si>
  <si>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</si>
  <si>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</si>
  <si>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</si>
  <si>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</si>
  <si>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</si>
  <si>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</si>
  <si>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</si>
  <si>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</si>
  <si>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</si>
  <si>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</si>
  <si>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</si>
  <si>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</si>
  <si>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</si>
  <si>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</si>
  <si>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</si>
  <si>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</si>
  <si>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</si>
  <si>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</si>
  <si>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</si>
  <si>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</si>
  <si>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</si>
  <si>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</si>
  <si>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</si>
  <si>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</si>
  <si>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</si>
  <si>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</si>
  <si>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</si>
  <si>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</si>
  <si>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</si>
  <si>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</si>
  <si>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</si>
  <si>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</si>
  <si>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</si>
  <si>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</si>
  <si>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</si>
  <si>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</si>
  <si>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</si>
  <si>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</si>
  <si>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</si>
  <si>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</si>
  <si>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</si>
  <si>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</si>
  <si>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</si>
  <si>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</si>
  <si>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</si>
  <si>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</si>
  <si>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</si>
  <si>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</si>
  <si>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</si>
  <si>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</si>
  <si>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</si>
  <si>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</si>
  <si>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</si>
  <si>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</si>
  <si>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</si>
  <si>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</si>
  <si>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</si>
  <si>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</si>
  <si>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</si>
  <si>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</si>
  <si>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</si>
  <si>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</si>
  <si>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</si>
  <si>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</si>
  <si>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</si>
  <si>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</si>
  <si>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</si>
  <si>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</si>
  <si>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</si>
  <si>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</si>
  <si>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</si>
  <si>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</si>
  <si>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</si>
  <si>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</si>
  <si>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</si>
  <si>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</si>
  <si>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</si>
  <si>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</si>
  <si>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</si>
  <si>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</si>
  <si>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</si>
  <si>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</si>
  <si>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</si>
  <si>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</si>
  <si>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</si>
  <si>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</si>
  <si>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</si>
  <si>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</si>
  <si>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</si>
  <si>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</si>
  <si>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</si>
  <si>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</si>
  <si>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</si>
  <si>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</si>
  <si>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</si>
  <si>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</si>
  <si>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</si>
  <si>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</si>
  <si>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</si>
  <si>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</si>
  <si>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</si>
  <si>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</si>
  <si>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</si>
  <si>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</si>
  <si>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</si>
  <si>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</si>
  <si>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</si>
  <si>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</si>
  <si>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</si>
  <si>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</si>
  <si>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</si>
  <si>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</si>
  <si>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</si>
  <si>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</si>
  <si>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</si>
  <si>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</si>
  <si>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</si>
  <si>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</si>
  <si>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</si>
  <si>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</si>
  <si>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</si>
  <si>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</si>
  <si>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</si>
  <si>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</si>
  <si>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</si>
  <si>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</si>
  <si>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</si>
  <si>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</si>
  <si>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</si>
  <si>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</si>
  <si>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</si>
  <si>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</si>
  <si>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</si>
  <si>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</si>
  <si>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</si>
  <si>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</si>
  <si>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</si>
  <si>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</si>
  <si>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</si>
  <si>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</si>
  <si>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</si>
  <si>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</si>
  <si>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</si>
  <si>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</si>
  <si>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</si>
  <si>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</si>
  <si>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</si>
  <si>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</si>
  <si>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</si>
  <si>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</si>
  <si>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</si>
  <si>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</si>
  <si>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</si>
  <si>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</si>
  <si>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</si>
  <si>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</si>
  <si>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</si>
  <si>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</si>
  <si>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</si>
  <si>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</si>
  <si>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</si>
  <si>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</si>
  <si>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</si>
  <si>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</si>
  <si>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</si>
  <si>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</si>
  <si>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</si>
  <si>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</si>
  <si>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</si>
  <si>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</si>
  <si>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</si>
  <si>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</si>
  <si>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</si>
  <si>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</si>
  <si>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</si>
  <si>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</si>
  <si>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</si>
  <si>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</si>
  <si>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</si>
  <si>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</si>
  <si>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</si>
  <si>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</si>
  <si>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</si>
  <si>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</si>
  <si>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</si>
  <si>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</si>
  <si>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</si>
  <si>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</si>
  <si>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</si>
  <si>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</si>
  <si>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</si>
  <si>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</si>
  <si>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</si>
  <si>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</si>
  <si>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</si>
  <si>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</si>
  <si>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</si>
  <si>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</si>
  <si>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</si>
  <si>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</si>
  <si>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</si>
  <si>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</si>
  <si>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</si>
  <si>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</si>
  <si>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</si>
  <si>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</si>
  <si>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</si>
  <si>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</si>
  <si>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</si>
  <si>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</si>
  <si>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</si>
  <si>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</si>
  <si>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</si>
  <si>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</si>
  <si>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</si>
  <si>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</si>
  <si>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</si>
  <si>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</si>
  <si>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</si>
  <si>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</si>
  <si>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</si>
  <si>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</si>
  <si>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</si>
  <si>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</si>
  <si>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</si>
  <si>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</si>
  <si>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</si>
  <si>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</si>
  <si>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</si>
  <si>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</si>
  <si>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</si>
  <si>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</si>
  <si>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</si>
  <si>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</si>
  <si>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</si>
  <si>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</si>
  <si>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</si>
  <si>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</si>
  <si>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</si>
  <si>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</si>
  <si>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</si>
  <si>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</si>
  <si>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</si>
  <si>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</si>
  <si>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</si>
  <si>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</si>
  <si>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</si>
  <si>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</si>
  <si>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</si>
  <si>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</si>
  <si>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</si>
  <si>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</si>
  <si>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</si>
  <si>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</si>
  <si>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</si>
  <si>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</si>
  <si>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</si>
  <si>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</si>
  <si>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</si>
  <si>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</si>
  <si>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</si>
  <si>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</si>
  <si>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</si>
  <si>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</si>
  <si>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</si>
  <si>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</si>
  <si>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</si>
  <si>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</si>
  <si>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</si>
  <si>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</si>
  <si>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</si>
  <si>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</si>
  <si>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</si>
  <si>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</si>
  <si>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</si>
  <si>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</si>
  <si>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</si>
  <si>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</si>
  <si>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</si>
  <si>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</si>
  <si>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</si>
  <si>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</si>
  <si>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</si>
  <si>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</si>
  <si>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</si>
  <si>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</si>
  <si>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</si>
  <si>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</si>
  <si>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</si>
  <si>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</si>
  <si>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</si>
  <si>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</si>
  <si>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</si>
  <si>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</si>
  <si>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</si>
  <si>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</si>
  <si>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</si>
  <si>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</si>
  <si>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</si>
  <si>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</si>
  <si>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</si>
  <si>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</si>
  <si>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</si>
  <si>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</si>
  <si>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</si>
  <si>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</si>
  <si>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</si>
  <si>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</si>
  <si>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</si>
  <si>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</si>
  <si>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</si>
  <si>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</si>
  <si>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</si>
  <si>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</si>
  <si>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</si>
  <si>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</si>
  <si>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</si>
  <si>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</si>
  <si>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</si>
  <si>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</si>
  <si>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</si>
  <si>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</si>
  <si>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</si>
  <si>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</si>
  <si>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</si>
  <si>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</si>
  <si>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</si>
  <si>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</si>
  <si>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</si>
  <si>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</si>
  <si>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</si>
  <si>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</si>
  <si>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</si>
  <si>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</si>
  <si>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</si>
  <si>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</si>
  <si>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</si>
  <si>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</si>
  <si>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</si>
  <si>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</si>
  <si>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</si>
  <si>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</si>
  <si>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</si>
  <si>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</si>
  <si>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</si>
  <si>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</si>
  <si>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</si>
  <si>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</si>
  <si>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</si>
  <si>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</si>
  <si>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</si>
  <si>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</si>
  <si>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</si>
  <si>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</si>
  <si>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</si>
  <si>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</si>
  <si>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</si>
  <si>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</si>
  <si>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</si>
  <si>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</si>
  <si>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</si>
  <si>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</si>
  <si>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</si>
  <si>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</si>
  <si>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</si>
  <si>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</si>
  <si>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</si>
  <si>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</si>
  <si>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</si>
  <si>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</si>
  <si>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</si>
  <si>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</si>
  <si>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</si>
  <si>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</si>
  <si>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</si>
  <si>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</si>
  <si>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</si>
  <si>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</si>
  <si>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</si>
  <si>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</si>
  <si>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</si>
  <si>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</si>
  <si>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</si>
  <si>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</si>
  <si>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</si>
  <si>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</si>
  <si>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</si>
  <si>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</si>
  <si>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</si>
  <si>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</si>
  <si>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</si>
  <si>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</si>
  <si>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</si>
  <si>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</si>
  <si>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</si>
  <si>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</si>
  <si>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</si>
  <si>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</si>
  <si>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</si>
  <si>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</si>
  <si>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</si>
  <si>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</si>
  <si>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</si>
  <si>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</si>
  <si>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</si>
  <si>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</si>
  <si>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</si>
  <si>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</si>
  <si>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</si>
  <si>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</si>
  <si>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</si>
  <si>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</si>
  <si>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</si>
  <si>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</si>
  <si>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</si>
  <si>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</si>
  <si>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</si>
  <si>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</si>
  <si>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</si>
  <si>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</si>
  <si>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</si>
  <si>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</si>
  <si>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</si>
  <si>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</si>
  <si>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</si>
  <si>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</si>
  <si>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</si>
  <si>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</si>
  <si>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</si>
  <si>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</si>
  <si>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</si>
  <si>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</si>
  <si>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</si>
  <si>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</si>
  <si>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</si>
  <si>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</si>
  <si>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</si>
  <si>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</si>
  <si>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</si>
  <si>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</si>
  <si>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</si>
  <si>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</si>
  <si>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</si>
  <si>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</si>
  <si>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</si>
  <si>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</si>
  <si>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</si>
  <si>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</si>
  <si>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</si>
  <si>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</si>
  <si>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</si>
  <si>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</si>
  <si>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</si>
  <si>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</si>
  <si>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</si>
  <si>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</si>
  <si>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</si>
  <si>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</si>
  <si>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</si>
  <si>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</si>
  <si>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</si>
  <si>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</si>
  <si>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</si>
  <si>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</si>
  <si>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</si>
  <si>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</si>
  <si>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</si>
  <si>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</si>
  <si>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</si>
  <si>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</si>
  <si>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</si>
  <si>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</si>
  <si>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</si>
  <si>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</si>
  <si>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</si>
  <si>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</si>
  <si>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</si>
  <si>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</si>
  <si>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</si>
  <si>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</si>
  <si>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</si>
  <si>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</si>
  <si>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</si>
  <si>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</si>
  <si>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</si>
  <si>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</si>
  <si>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</si>
  <si>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</si>
  <si>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</si>
  <si>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</si>
  <si>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</si>
  <si>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</si>
  <si>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</si>
  <si>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</si>
  <si>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</si>
  <si>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</si>
  <si>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</si>
  <si>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</si>
  <si>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</si>
  <si>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</si>
  <si>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</si>
  <si>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</si>
  <si>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</si>
  <si>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</si>
  <si>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</si>
  <si>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</si>
  <si>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</si>
  <si>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</si>
  <si>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</si>
  <si>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</si>
  <si>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</si>
  <si>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</si>
  <si>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</si>
  <si>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</si>
  <si>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</si>
  <si>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</si>
  <si>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</si>
  <si>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</si>
  <si>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</si>
  <si>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</si>
  <si>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</si>
  <si>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</si>
  <si>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</si>
  <si>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</si>
  <si>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</si>
  <si>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</si>
  <si>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</si>
  <si>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</si>
  <si>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</si>
  <si>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</si>
  <si>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</si>
  <si>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</si>
  <si>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</si>
  <si>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</si>
  <si>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</si>
  <si>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</si>
  <si>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</si>
  <si>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</si>
  <si>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</si>
  <si>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</si>
  <si>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</si>
  <si>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</si>
  <si>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</si>
  <si>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</si>
  <si>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</si>
  <si>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</si>
  <si>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</si>
  <si>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</si>
  <si>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</si>
  <si>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</si>
  <si>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</si>
  <si>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</si>
  <si>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</si>
  <si>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</si>
  <si>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</si>
  <si>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</si>
  <si>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</si>
  <si>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</si>
  <si>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</si>
  <si>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</si>
  <si>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</si>
  <si>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</si>
  <si>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</si>
  <si>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</si>
  <si>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</si>
  <si>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</si>
  <si>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</si>
  <si>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</si>
  <si>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</si>
  <si>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</si>
  <si>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</si>
  <si>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</si>
  <si>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</si>
  <si>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</si>
  <si>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</si>
  <si>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</si>
  <si>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</si>
  <si>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</si>
  <si>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</si>
  <si>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</si>
  <si>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</si>
  <si>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</si>
  <si>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</si>
  <si>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</si>
  <si>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</si>
  <si>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</si>
  <si>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</si>
  <si>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</si>
  <si>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</si>
  <si>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</si>
  <si>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</si>
  <si>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</si>
  <si>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</si>
  <si>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</si>
  <si>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</si>
  <si>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</si>
  <si>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</si>
  <si>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</si>
  <si>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</si>
  <si>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</si>
  <si>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</si>
  <si>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</si>
  <si>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</si>
  <si>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</si>
  <si>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</si>
  <si>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</si>
  <si>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</si>
  <si>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</si>
  <si>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</si>
  <si>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</si>
  <si>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</si>
  <si>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</si>
  <si>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</si>
  <si>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</si>
  <si>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</si>
  <si>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</si>
  <si>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</si>
  <si>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</si>
  <si>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</si>
  <si>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</si>
  <si>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</si>
  <si>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</si>
  <si>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</si>
  <si>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</si>
  <si>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</si>
  <si>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</si>
  <si>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</si>
  <si>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</si>
  <si>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</si>
  <si>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</si>
  <si>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</si>
  <si>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</si>
  <si>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</si>
  <si>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</si>
  <si>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</si>
  <si>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</si>
  <si>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</si>
  <si>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</si>
  <si>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</si>
  <si>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</si>
  <si>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</si>
  <si>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</si>
  <si>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</si>
  <si>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</si>
  <si>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</si>
  <si>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</si>
  <si>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</si>
  <si>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</si>
  <si>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</si>
  <si>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</si>
  <si>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</si>
  <si>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</si>
  <si>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</si>
  <si>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</si>
  <si>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</si>
  <si>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</si>
  <si>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</si>
  <si>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</si>
  <si>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</si>
  <si>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</si>
  <si>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</si>
  <si>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</si>
  <si>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</si>
  <si>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</si>
  <si>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</si>
  <si>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</si>
  <si>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</si>
  <si>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</si>
  <si>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</si>
  <si>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</si>
  <si>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</si>
  <si>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</si>
  <si>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</si>
  <si>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</si>
  <si>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</si>
  <si>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</si>
  <si>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</si>
  <si>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</si>
  <si>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</si>
  <si>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</si>
  <si>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</si>
  <si>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</si>
  <si>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</si>
  <si>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</si>
  <si>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</si>
  <si>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</si>
  <si>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</si>
  <si>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</si>
  <si>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</si>
  <si>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</si>
  <si>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</si>
  <si>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</si>
  <si>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</si>
  <si>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</si>
  <si>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</si>
  <si>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</si>
  <si>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</si>
  <si>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</si>
  <si>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</si>
  <si>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</si>
  <si>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</si>
  <si>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</si>
  <si>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</si>
  <si>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</si>
  <si>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</si>
  <si>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</si>
  <si>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</si>
  <si>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</si>
  <si>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</si>
  <si>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</si>
  <si>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</si>
  <si>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</si>
  <si>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</si>
  <si>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</si>
  <si>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</si>
  <si>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</si>
  <si>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</si>
  <si>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</si>
  <si>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</si>
  <si>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</si>
  <si>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</si>
  <si>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</si>
  <si>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</si>
  <si>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</si>
  <si>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</si>
  <si>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</si>
  <si>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</si>
  <si>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</si>
  <si>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</si>
  <si>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</si>
  <si>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</si>
  <si>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</si>
  <si>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</si>
  <si>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</si>
  <si>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</si>
  <si>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</si>
  <si>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</si>
  <si>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</si>
  <si>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</si>
  <si>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</si>
  <si>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</si>
  <si>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</si>
  <si>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</si>
  <si>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</si>
  <si>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</si>
  <si>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</si>
  <si>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</si>
  <si>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</si>
  <si>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</si>
  <si>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</si>
  <si>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</si>
  <si>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</si>
  <si>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</si>
  <si>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</si>
  <si>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</si>
  <si>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</si>
  <si>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</si>
  <si>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</si>
  <si>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</si>
  <si>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</si>
  <si>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</si>
  <si>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</si>
  <si>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</si>
  <si>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</si>
  <si>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</si>
  <si>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</si>
  <si>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</si>
  <si>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</si>
  <si>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</si>
  <si>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</si>
  <si>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</si>
  <si>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</si>
  <si>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</si>
  <si>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</si>
  <si>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</si>
  <si>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</si>
  <si>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</si>
  <si>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</si>
  <si>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</si>
  <si>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</si>
  <si>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</si>
  <si>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</si>
  <si>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</si>
  <si>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</si>
  <si>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</si>
  <si>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</si>
  <si>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</si>
  <si>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</si>
  <si>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</si>
  <si>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</si>
  <si>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</si>
  <si>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</si>
  <si>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</si>
  <si>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</si>
  <si>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</si>
  <si>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</si>
  <si>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</si>
  <si>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</si>
  <si>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</si>
  <si>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</si>
  <si>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</si>
  <si>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</si>
  <si>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</si>
  <si>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</si>
  <si>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</si>
  <si>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</si>
  <si>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</si>
  <si>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</si>
  <si>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</si>
  <si>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</si>
  <si>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</si>
  <si>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</si>
  <si>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</si>
  <si>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</si>
  <si>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</si>
  <si>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</si>
  <si>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</si>
  <si>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</si>
  <si>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</si>
  <si>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</si>
  <si>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</si>
  <si>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</si>
  <si>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</si>
  <si>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</si>
  <si>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</si>
  <si>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</si>
  <si>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</si>
  <si>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</si>
  <si>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</si>
  <si>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</si>
  <si>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</si>
  <si>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</si>
  <si>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</si>
  <si>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</si>
  <si>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</si>
  <si>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</si>
  <si>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</si>
  <si>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</si>
  <si>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</si>
  <si>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</si>
  <si>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</si>
  <si>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</si>
  <si>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</si>
  <si>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</si>
  <si>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</si>
  <si>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</si>
  <si>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</si>
  <si>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</si>
  <si>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</si>
  <si>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</si>
  <si>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</si>
  <si>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</si>
  <si>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</si>
  <si>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</si>
  <si>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</si>
  <si>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</si>
  <si>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</si>
  <si>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</si>
  <si>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</si>
  <si>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</si>
  <si>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</si>
  <si>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</si>
  <si>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</si>
  <si>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</si>
  <si>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</si>
  <si>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</si>
  <si>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</si>
  <si>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</si>
  <si>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</si>
  <si>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</si>
  <si>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</si>
  <si>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</si>
  <si>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</si>
  <si>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</si>
  <si>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</si>
  <si>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</si>
  <si>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</si>
  <si>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</si>
  <si>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</si>
  <si>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</si>
  <si>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</si>
  <si>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</si>
  <si>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</si>
  <si>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</si>
  <si>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</si>
  <si>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</si>
  <si>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</si>
  <si>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</si>
  <si>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</si>
  <si>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</si>
  <si>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</si>
  <si>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</si>
  <si>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</si>
  <si>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</si>
  <si>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</si>
  <si>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</si>
  <si>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</si>
  <si>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</si>
  <si>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</si>
  <si>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</si>
  <si>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</si>
  <si>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</si>
  <si>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</si>
  <si>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</si>
  <si>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</si>
  <si>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</si>
  <si>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</si>
  <si>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</si>
  <si>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</si>
  <si>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</si>
  <si>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</si>
  <si>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</si>
  <si>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</si>
  <si>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</si>
  <si>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</si>
  <si>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</si>
  <si>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</si>
  <si>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</si>
  <si>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</si>
  <si>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</si>
  <si>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</si>
  <si>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</si>
  <si>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</si>
  <si>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</si>
  <si>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</si>
  <si>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</si>
  <si>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</si>
  <si>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</si>
  <si>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</si>
  <si>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</si>
  <si>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</si>
  <si>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</si>
  <si>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</si>
  <si>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</si>
  <si>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</si>
  <si>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</si>
  <si>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</si>
  <si>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</si>
  <si>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</si>
  <si>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</si>
  <si>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</si>
  <si>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</si>
  <si>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</si>
  <si>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</si>
  <si>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</si>
  <si>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</si>
  <si>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</si>
  <si>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</si>
  <si>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</si>
  <si>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</si>
  <si>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</si>
  <si>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</si>
  <si>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</si>
  <si>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</si>
  <si>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</si>
  <si>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</si>
  <si>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</si>
  <si>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</si>
  <si>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</si>
  <si>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</si>
  <si>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</si>
  <si>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</si>
  <si>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</si>
  <si>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</si>
  <si>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</si>
  <si>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</si>
  <si>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</si>
  <si>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</si>
  <si>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</si>
  <si>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</si>
  <si>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</si>
  <si>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</si>
  <si>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</si>
  <si>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</si>
  <si>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</si>
  <si>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</si>
  <si>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</si>
  <si>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</si>
  <si>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</si>
  <si>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</si>
  <si>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</si>
  <si>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</si>
  <si>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</si>
  <si>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</si>
  <si>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</si>
  <si>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</si>
  <si>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</si>
  <si>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</si>
  <si>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</si>
  <si>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</si>
  <si>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</si>
  <si>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</si>
  <si>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</si>
  <si>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</si>
  <si>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</si>
  <si>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</si>
  <si>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</si>
  <si>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</si>
  <si>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</si>
  <si>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</si>
  <si>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</si>
  <si>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</si>
  <si>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</si>
  <si>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</si>
  <si>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</si>
  <si>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</si>
  <si>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</si>
  <si>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</si>
  <si>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</si>
  <si>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</si>
  <si>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</si>
  <si>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</si>
  <si>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</si>
  <si>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</si>
  <si>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</si>
  <si>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</si>
  <si>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</si>
  <si>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</si>
  <si>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</si>
  <si>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</si>
  <si>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</si>
  <si>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</si>
  <si>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</si>
  <si>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</si>
  <si>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</si>
  <si>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</si>
  <si>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</si>
  <si>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</si>
  <si>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</si>
  <si>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</si>
  <si>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</si>
  <si>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</si>
  <si>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</si>
  <si>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</si>
  <si>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</si>
  <si>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</si>
  <si>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</si>
  <si>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</si>
  <si>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</si>
  <si>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</si>
  <si>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</si>
  <si>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</si>
  <si>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</si>
  <si>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</si>
  <si>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</si>
  <si>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</si>
  <si>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</si>
  <si>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</si>
  <si>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</si>
  <si>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</si>
  <si>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</si>
  <si>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</si>
  <si>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</si>
  <si>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</si>
  <si>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</si>
  <si>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</si>
  <si>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</si>
  <si>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</si>
  <si>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</si>
  <si>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</si>
  <si>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</si>
  <si>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</si>
  <si>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</si>
  <si>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</si>
  <si>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</si>
  <si>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</si>
  <si>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</si>
  <si>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</si>
  <si>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</si>
  <si>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</si>
  <si>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</si>
  <si>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</si>
  <si>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</si>
  <si>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</si>
  <si>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</si>
  <si>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</si>
  <si>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</si>
  <si>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</si>
  <si>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</si>
  <si>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</si>
  <si>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</si>
  <si>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</si>
  <si>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</si>
  <si>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</si>
  <si>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</si>
  <si>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</si>
  <si>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</si>
  <si>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</si>
  <si>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</si>
  <si>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</si>
  <si>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</si>
  <si>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</si>
  <si>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</si>
  <si>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</si>
  <si>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</si>
  <si>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</si>
  <si>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</si>
  <si>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</si>
  <si>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</si>
  <si>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</si>
  <si>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</si>
  <si>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</si>
  <si>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</si>
  <si>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</si>
  <si>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</si>
  <si>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</si>
  <si>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</si>
  <si>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</si>
  <si>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</si>
  <si>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</si>
  <si>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</si>
  <si>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</si>
  <si>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</si>
  <si>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</si>
  <si>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</si>
  <si>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</si>
  <si>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</si>
  <si>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</si>
  <si>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</si>
  <si>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</si>
  <si>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</si>
  <si>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</si>
  <si>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</si>
  <si>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</si>
  <si>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</si>
  <si>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</si>
  <si>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</si>
  <si>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</si>
  <si>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</si>
  <si>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</si>
  <si>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</si>
  <si>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</si>
  <si>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</si>
  <si>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</si>
  <si>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</si>
  <si>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</si>
  <si>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</si>
  <si>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</si>
  <si>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</si>
  <si>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</si>
  <si>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</si>
  <si>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</si>
  <si>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</si>
  <si>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</si>
  <si>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</si>
  <si>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</si>
  <si>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</si>
  <si>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</si>
  <si>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</si>
  <si>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</si>
  <si>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</si>
  <si>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</si>
  <si>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</si>
  <si>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</si>
  <si>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</si>
  <si>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</si>
  <si>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</si>
  <si>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</si>
  <si>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</si>
  <si>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</si>
  <si>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</si>
  <si>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</si>
  <si>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</si>
  <si>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</si>
  <si>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</si>
  <si>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</si>
  <si>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</si>
  <si>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</si>
  <si>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</si>
  <si>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</si>
  <si>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</si>
  <si>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</si>
  <si>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</si>
  <si>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</si>
  <si>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</si>
  <si>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</si>
  <si>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</si>
  <si>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</si>
  <si>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</si>
  <si>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</si>
  <si>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</si>
  <si>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</si>
  <si>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</si>
  <si>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</si>
  <si>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</si>
  <si>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</si>
  <si>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</si>
  <si>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</si>
  <si>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</si>
  <si>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</si>
  <si>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</si>
  <si>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</si>
  <si>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</si>
  <si>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</si>
  <si>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</si>
  <si>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</si>
  <si>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</si>
  <si>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</si>
  <si>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</si>
  <si>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</si>
  <si>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</si>
  <si>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</si>
  <si>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</si>
  <si>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</si>
  <si>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</si>
  <si>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</si>
  <si>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</si>
  <si>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</si>
  <si>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</si>
  <si>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</si>
  <si>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</si>
  <si>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</si>
  <si>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</si>
  <si>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</si>
  <si>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</si>
  <si>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</si>
  <si>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</si>
  <si>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</si>
  <si>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</si>
  <si>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</si>
  <si>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</si>
  <si>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</si>
  <si>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</si>
  <si>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</si>
  <si>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</si>
  <si>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</si>
  <si>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</si>
  <si>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</si>
  <si>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</si>
  <si>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</si>
  <si>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</si>
  <si>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</si>
  <si>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</si>
  <si>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</si>
  <si>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</si>
  <si>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</si>
  <si>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</si>
  <si>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</si>
  <si>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</si>
  <si>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</si>
  <si>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</si>
  <si>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</si>
  <si>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</si>
  <si>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</si>
  <si>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</si>
  <si>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</si>
  <si>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</si>
  <si>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</si>
  <si>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</si>
  <si>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</si>
  <si>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</si>
  <si>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</si>
  <si>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</si>
  <si>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</si>
  <si>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</si>
  <si>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</si>
  <si>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</si>
  <si>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</si>
  <si>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</si>
  <si>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</si>
  <si>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</si>
  <si>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</si>
  <si>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</si>
  <si>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</si>
  <si>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</si>
  <si>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</si>
  <si>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</si>
  <si>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</si>
  <si>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</si>
  <si>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</si>
  <si>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</si>
  <si>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</si>
  <si>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</si>
  <si>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</si>
  <si>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</si>
  <si>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</si>
  <si>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</si>
  <si>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</si>
  <si>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</si>
  <si>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</si>
  <si>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</si>
  <si>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</si>
  <si>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</si>
  <si>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</si>
  <si>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</si>
  <si>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</si>
  <si>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</si>
  <si>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</si>
  <si>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</si>
  <si>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</si>
  <si>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</si>
  <si>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</si>
  <si>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</si>
  <si>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</si>
  <si>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</si>
  <si>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</si>
  <si>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</si>
  <si>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</si>
  <si>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</si>
  <si>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</si>
  <si>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</si>
  <si>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</si>
  <si>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</si>
  <si>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</si>
  <si>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</si>
  <si>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</si>
  <si>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</si>
  <si>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</si>
  <si>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</si>
  <si>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</si>
  <si>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</si>
  <si>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</si>
  <si>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</si>
  <si>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</si>
  <si>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</si>
  <si>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</si>
  <si>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</si>
  <si>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</si>
  <si>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</si>
  <si>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</si>
  <si>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</si>
  <si>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</si>
  <si>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</si>
  <si>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</si>
  <si>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</si>
  <si>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</si>
  <si>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</si>
  <si>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</si>
  <si>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</si>
  <si>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</si>
  <si>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</si>
  <si>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</si>
  <si>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</si>
  <si>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</si>
  <si>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</si>
  <si>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</si>
  <si>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</si>
  <si>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</si>
  <si>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</si>
  <si>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</si>
  <si>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</si>
  <si>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</si>
  <si>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</si>
  <si>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</si>
  <si>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</si>
  <si>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</si>
  <si>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</si>
  <si>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</si>
  <si>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</si>
  <si>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</si>
  <si>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</si>
  <si>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</si>
  <si>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</si>
  <si>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</si>
  <si>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</si>
  <si>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</si>
  <si>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</si>
  <si>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</si>
  <si>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</si>
  <si>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</si>
  <si>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</si>
  <si>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</si>
  <si>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</si>
  <si>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</si>
  <si>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</si>
  <si>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</si>
  <si>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</si>
  <si>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</si>
  <si>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</si>
  <si>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</si>
  <si>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</si>
  <si>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</si>
  <si>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</si>
  <si>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</si>
  <si>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</si>
  <si>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</si>
  <si>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</si>
  <si>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</si>
  <si>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</si>
  <si>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</si>
  <si>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</si>
  <si>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</si>
  <si>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</si>
  <si>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</si>
  <si>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</si>
  <si>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</si>
  <si>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</si>
  <si>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</si>
  <si>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</si>
  <si>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</si>
  <si>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</si>
  <si>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</si>
  <si>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</si>
  <si>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</si>
  <si>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</si>
  <si>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</si>
  <si>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</si>
  <si>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</si>
  <si>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</si>
  <si>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</si>
  <si>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</si>
  <si>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</si>
  <si>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</si>
  <si>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</si>
  <si>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</si>
  <si>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</si>
  <si>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</si>
  <si>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</si>
  <si>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</si>
  <si>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</si>
  <si>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</si>
  <si>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</si>
  <si>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</si>
  <si>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</si>
  <si>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</si>
  <si>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</si>
  <si>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</si>
  <si>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</si>
  <si>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</si>
  <si>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</si>
  <si>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</si>
  <si>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</si>
  <si>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</si>
  <si>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</si>
  <si>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</si>
  <si>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</si>
  <si>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</si>
  <si>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</si>
  <si>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</si>
  <si>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</si>
  <si>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</si>
  <si>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</si>
  <si>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</si>
  <si>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</si>
  <si>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</si>
  <si>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</si>
  <si>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</si>
  <si>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</si>
  <si>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</si>
  <si>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</si>
  <si>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</si>
  <si>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</si>
  <si>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</si>
  <si>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</si>
  <si>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</si>
  <si>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</si>
  <si>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</si>
  <si>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</si>
  <si>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</si>
  <si>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</si>
  <si>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</si>
  <si>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</si>
  <si>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</si>
  <si>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</si>
  <si>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</si>
  <si>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</si>
  <si>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</si>
  <si>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</si>
  <si>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</si>
  <si>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</si>
  <si>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</si>
  <si>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</si>
  <si>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</si>
  <si>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</si>
  <si>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</si>
  <si>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</si>
  <si>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</si>
  <si>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</si>
  <si>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</si>
  <si>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</si>
  <si>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</si>
  <si>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</si>
  <si>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</si>
  <si>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</si>
  <si>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</si>
  <si>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</si>
  <si>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</si>
  <si>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</si>
  <si>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</si>
  <si>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</si>
  <si>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</si>
  <si>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</si>
  <si>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</si>
  <si>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</si>
  <si>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</si>
  <si>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</si>
  <si>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</si>
  <si>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</si>
  <si>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</si>
  <si>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</si>
  <si>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</si>
  <si>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</si>
  <si>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</si>
  <si>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</si>
  <si>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</si>
  <si>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</si>
  <si>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</si>
  <si>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</si>
  <si>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</si>
  <si>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</si>
  <si>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</si>
  <si>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</si>
  <si>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</si>
  <si>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</si>
  <si>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</si>
  <si>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</si>
  <si>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</si>
  <si>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</si>
  <si>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</si>
  <si>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</si>
  <si>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</si>
  <si>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</si>
  <si>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</si>
  <si>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</si>
  <si>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</si>
  <si>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</si>
  <si>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</si>
  <si>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</si>
  <si>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</si>
  <si>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</si>
  <si>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</si>
  <si>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</si>
  <si>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</si>
  <si>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</si>
  <si>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</si>
  <si>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</si>
  <si>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</si>
  <si>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</si>
  <si>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</si>
  <si>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</si>
  <si>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</si>
  <si>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</si>
  <si>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</si>
  <si>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</si>
  <si>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</si>
  <si>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</si>
  <si>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</si>
  <si>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</si>
  <si>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</si>
  <si>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</si>
  <si>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</si>
  <si>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</si>
  <si>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</si>
  <si>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</si>
  <si>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</si>
  <si>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</si>
  <si>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</si>
  <si>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</si>
  <si>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</si>
  <si>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</si>
  <si>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</si>
  <si>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</si>
  <si>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</si>
  <si>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</si>
  <si>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</si>
  <si>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</si>
  <si>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</si>
  <si>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</si>
  <si>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</si>
  <si>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</si>
  <si>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</si>
  <si>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</si>
  <si>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</si>
  <si>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</si>
  <si>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</si>
  <si>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</si>
  <si>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</si>
  <si>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</si>
  <si>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</si>
  <si>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</si>
  <si>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</si>
  <si>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</si>
  <si>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</si>
  <si>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</si>
  <si>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</si>
  <si>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</si>
  <si>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</si>
  <si>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</si>
  <si>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</si>
  <si>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</si>
  <si>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</si>
  <si>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</si>
  <si>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</si>
  <si>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</si>
  <si>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</si>
  <si>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</si>
  <si>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</si>
  <si>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</si>
  <si>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</si>
  <si>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</si>
  <si>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</si>
  <si>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</si>
  <si>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</si>
  <si>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</si>
  <si>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</si>
  <si>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</si>
  <si>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</si>
  <si>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</si>
  <si>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</si>
  <si>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</si>
  <si>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</si>
  <si>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</si>
  <si>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</si>
  <si>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</si>
  <si>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</si>
  <si>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</si>
  <si>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</si>
  <si>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</si>
  <si>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</si>
  <si>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</si>
  <si>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</si>
  <si>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</si>
  <si>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</si>
  <si>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</si>
  <si>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</si>
  <si>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</si>
  <si>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</si>
  <si>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</si>
  <si>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</si>
  <si>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</si>
  <si>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</si>
  <si>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</si>
  <si>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</si>
  <si>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</si>
  <si>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</si>
  <si>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</si>
  <si>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</si>
  <si>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</si>
  <si>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</si>
  <si>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</si>
  <si>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</si>
  <si>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</si>
  <si>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</si>
  <si>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</si>
  <si>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</si>
  <si>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</si>
  <si>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</si>
  <si>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</si>
  <si>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</si>
  <si>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</si>
  <si>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</si>
  <si>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</si>
  <si>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</si>
  <si>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</si>
  <si>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</si>
  <si>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</si>
  <si>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</si>
  <si>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</si>
  <si>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</si>
  <si>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</si>
  <si>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</si>
  <si>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</si>
  <si>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</si>
  <si>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</si>
  <si>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</si>
  <si>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</si>
  <si>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</si>
  <si>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</si>
  <si>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</si>
  <si>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</si>
  <si>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</si>
  <si>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</si>
  <si>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</si>
  <si>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</si>
  <si>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</si>
  <si>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</si>
  <si>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</si>
  <si>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</si>
  <si>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</si>
  <si>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</si>
  <si>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</si>
  <si>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</si>
  <si>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</si>
  <si>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</si>
  <si>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</si>
  <si>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</si>
  <si>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</si>
  <si>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</si>
  <si>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</si>
  <si>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</si>
  <si>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</si>
  <si>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</si>
  <si>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</si>
  <si>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</si>
  <si>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</si>
  <si>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</si>
  <si>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</si>
  <si>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</si>
  <si>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</si>
  <si>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</si>
  <si>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</si>
  <si>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</si>
  <si>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</si>
  <si>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</si>
  <si>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</si>
  <si>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</si>
  <si>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</si>
  <si>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</si>
  <si>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</si>
  <si>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</si>
  <si>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</si>
  <si>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</si>
  <si>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</si>
  <si>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</si>
  <si>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</si>
  <si>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</si>
  <si>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</si>
  <si>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</si>
  <si>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</si>
  <si>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</si>
  <si>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</si>
  <si>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</si>
  <si>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</si>
  <si>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</si>
  <si>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</si>
  <si>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</si>
  <si>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</si>
  <si>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</si>
  <si>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</si>
  <si>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</si>
  <si>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</si>
  <si>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</si>
  <si>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</si>
  <si>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</si>
  <si>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</si>
  <si>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</si>
  <si>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</si>
  <si>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</si>
  <si>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</si>
  <si>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</si>
  <si>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</si>
  <si>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</si>
  <si>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</si>
  <si>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</si>
  <si>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</si>
  <si>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</si>
  <si>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</si>
  <si>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</si>
  <si>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</si>
  <si>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</si>
  <si>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</si>
  <si>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</si>
  <si>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</si>
  <si>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</si>
  <si>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</si>
  <si>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</si>
  <si>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</si>
  <si>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</si>
  <si>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</si>
  <si>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</si>
  <si>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</si>
  <si>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</si>
  <si>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</si>
  <si>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</si>
  <si>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</si>
  <si>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</si>
  <si>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</si>
  <si>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</si>
  <si>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</si>
  <si>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</si>
  <si>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</si>
  <si>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</si>
  <si>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</si>
  <si>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</si>
  <si>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</si>
  <si>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</si>
  <si>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</si>
  <si>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</si>
  <si>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</si>
  <si>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</si>
  <si>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</si>
  <si>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</si>
  <si>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</si>
  <si>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</si>
  <si>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</si>
  <si>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</si>
  <si>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</si>
  <si>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</si>
  <si>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</si>
  <si>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</si>
  <si>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</si>
  <si>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</si>
  <si>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</si>
  <si>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</si>
  <si>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</si>
  <si>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</si>
  <si>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</si>
  <si>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</si>
  <si>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</si>
  <si>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</si>
  <si>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</si>
  <si>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</si>
  <si>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</si>
  <si>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</si>
  <si>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</si>
  <si>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</si>
  <si>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</si>
  <si>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</si>
  <si>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</si>
  <si>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</si>
  <si>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</si>
  <si>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</si>
  <si>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</si>
  <si>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</si>
  <si>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</si>
  <si>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</si>
  <si>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</si>
  <si>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</si>
  <si>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</si>
  <si>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</si>
  <si>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</si>
  <si>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</si>
  <si>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</si>
  <si>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</si>
  <si>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</si>
  <si>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</si>
  <si>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</si>
  <si>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</si>
  <si>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</si>
  <si>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</si>
  <si>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</si>
  <si>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</si>
  <si>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</si>
  <si>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</si>
  <si>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</si>
  <si>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</si>
  <si>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</si>
  <si>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</si>
  <si>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</si>
  <si>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</si>
  <si>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</si>
  <si>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</si>
  <si>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</si>
  <si>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</si>
  <si>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</si>
  <si>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</si>
  <si>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</si>
  <si>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</si>
  <si>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</si>
  <si>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</si>
  <si>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</si>
  <si>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</si>
  <si>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</si>
  <si>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</si>
  <si>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</si>
  <si>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</si>
  <si>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</si>
  <si>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</si>
  <si>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</si>
  <si>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</si>
  <si>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</si>
  <si>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</si>
  <si>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</si>
  <si>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</si>
  <si>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</si>
  <si>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</si>
  <si>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</si>
  <si>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</si>
  <si>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</si>
  <si>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</si>
  <si>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</si>
  <si>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</si>
  <si>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</si>
  <si>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</si>
  <si>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</si>
  <si>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</si>
  <si>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</si>
  <si>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</si>
  <si>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</si>
  <si>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</si>
  <si>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</si>
  <si>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</si>
  <si>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</si>
  <si>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</si>
  <si>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</si>
  <si>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</si>
  <si>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</si>
  <si>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</si>
  <si>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</si>
  <si>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</si>
  <si>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</si>
  <si>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</si>
  <si>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</si>
  <si>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</si>
  <si>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</si>
  <si>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</si>
  <si>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</si>
  <si>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</si>
  <si>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</si>
  <si>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</si>
  <si>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</si>
  <si>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</si>
  <si>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</si>
  <si>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</si>
  <si>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</si>
  <si>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</si>
  <si>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</si>
  <si>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</si>
  <si>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</si>
  <si>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</si>
  <si>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</si>
  <si>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</si>
  <si>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</si>
  <si>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</si>
  <si>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</si>
  <si>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</si>
  <si>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</si>
  <si>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</si>
  <si>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</si>
  <si>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</si>
  <si>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</si>
  <si>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</si>
  <si>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</si>
  <si>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</si>
  <si>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</si>
  <si>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</si>
  <si>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</si>
  <si>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</si>
  <si>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</si>
  <si>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</si>
  <si>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</si>
  <si>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</si>
  <si>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</si>
  <si>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</si>
  <si>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</si>
  <si>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</si>
  <si>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</si>
  <si>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</si>
  <si>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</si>
  <si>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</si>
  <si>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</si>
  <si>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</si>
  <si>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</si>
  <si>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</si>
  <si>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</si>
  <si>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</si>
  <si>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</si>
  <si>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</si>
  <si>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</si>
  <si>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</si>
  <si>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</si>
  <si>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</si>
  <si>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</si>
  <si>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</si>
  <si>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</si>
  <si>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</si>
  <si>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</si>
  <si>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</si>
  <si>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</si>
  <si>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</si>
  <si>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</si>
  <si>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</si>
  <si>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</si>
  <si>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</si>
  <si>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</si>
  <si>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</si>
  <si>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</si>
  <si>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</si>
  <si>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</si>
  <si>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</si>
  <si>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</si>
  <si>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</si>
  <si>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</si>
  <si>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</si>
  <si>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</si>
  <si>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</si>
  <si>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</si>
  <si>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</si>
  <si>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</si>
  <si>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</si>
  <si>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</si>
  <si>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</si>
  <si>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</si>
  <si>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</si>
  <si>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</si>
  <si>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</si>
  <si>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</si>
  <si>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</si>
  <si>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</si>
  <si>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</si>
  <si>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</si>
  <si>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</si>
  <si>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</si>
  <si>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</si>
  <si>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</si>
  <si>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</si>
  <si>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</si>
  <si>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</si>
  <si>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</si>
  <si>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</si>
  <si>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</si>
  <si>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</si>
  <si>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</si>
  <si>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</si>
  <si>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</si>
  <si>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</si>
  <si>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</si>
  <si>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</si>
  <si>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</si>
  <si>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</si>
  <si>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</si>
  <si>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</si>
  <si>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</si>
  <si>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</si>
  <si>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</si>
  <si>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</si>
  <si>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</si>
  <si>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</si>
  <si>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</si>
  <si>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</si>
  <si>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</si>
  <si>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</si>
  <si>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</si>
  <si>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</si>
  <si>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</si>
  <si>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</si>
  <si>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</si>
  <si>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</si>
  <si>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</si>
  <si>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</si>
  <si>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</si>
  <si>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</si>
  <si>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</si>
  <si>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</si>
  <si>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</si>
  <si>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</si>
  <si>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</si>
  <si>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</si>
  <si>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</si>
  <si>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</si>
  <si>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</si>
  <si>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</si>
  <si>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</si>
  <si>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</si>
  <si>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</si>
  <si>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</si>
  <si>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</si>
  <si>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</si>
  <si>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</si>
  <si>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</si>
  <si>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</si>
  <si>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</si>
  <si>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</si>
  <si>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</si>
  <si>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</si>
  <si>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</si>
  <si>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</si>
  <si>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</si>
  <si>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</si>
  <si>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</si>
  <si>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</si>
  <si>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</si>
  <si>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</si>
  <si>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</si>
  <si>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</si>
  <si>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</si>
  <si>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</si>
  <si>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</si>
  <si>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</si>
  <si>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</si>
  <si>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</si>
  <si>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</si>
  <si>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</si>
  <si>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</si>
  <si>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</si>
  <si>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</si>
  <si>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</si>
  <si>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</si>
  <si>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</si>
  <si>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</si>
  <si>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</si>
  <si>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</si>
  <si>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</si>
  <si>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</si>
  <si>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</si>
  <si>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</si>
  <si>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</si>
  <si>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</si>
  <si>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</si>
  <si>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</si>
  <si>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</si>
  <si>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</si>
  <si>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</si>
  <si>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</si>
  <si>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</si>
  <si>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</si>
  <si>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</si>
  <si>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</si>
  <si>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</si>
  <si>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</si>
  <si>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</si>
  <si>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</si>
  <si>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</si>
  <si>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</si>
  <si>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</si>
  <si>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</si>
  <si>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</si>
  <si>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</si>
  <si>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</si>
  <si>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</si>
  <si>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</si>
  <si>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</si>
  <si>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</si>
  <si>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</si>
  <si>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</si>
  <si>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</si>
  <si>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</si>
  <si>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</si>
  <si>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</si>
  <si>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</si>
  <si>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</si>
  <si>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</si>
  <si>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</si>
  <si>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</si>
  <si>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</si>
  <si>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</si>
  <si>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</si>
  <si>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</si>
  <si>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</si>
  <si>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</si>
  <si>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</si>
  <si>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</si>
  <si>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</si>
  <si>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</si>
  <si>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</si>
  <si>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</si>
  <si>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</si>
  <si>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</si>
  <si>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</si>
  <si>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</si>
  <si>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</si>
  <si>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</si>
  <si>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</si>
  <si>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</si>
  <si>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</si>
  <si>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</si>
  <si>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</si>
  <si>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</si>
  <si>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</si>
  <si>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</si>
  <si>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</si>
  <si>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</si>
  <si>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</si>
  <si>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</si>
  <si>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</si>
  <si>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</si>
  <si>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</si>
  <si>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</si>
  <si>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</si>
  <si>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</si>
  <si>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</si>
  <si>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</si>
  <si>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</si>
  <si>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</si>
  <si>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</si>
  <si>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</si>
  <si>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</si>
  <si>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</si>
  <si>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</si>
  <si>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</si>
  <si>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</si>
  <si>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</si>
  <si>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</si>
  <si>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</si>
  <si>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</si>
  <si>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</si>
  <si>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</si>
  <si>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</si>
  <si>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</si>
  <si>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</si>
  <si>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</si>
  <si>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</si>
  <si>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</si>
  <si>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</si>
  <si>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</si>
  <si>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</si>
  <si>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</si>
  <si>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</si>
  <si>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</si>
  <si>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</si>
  <si>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</si>
  <si>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</si>
  <si>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</si>
  <si>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</si>
  <si>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</si>
  <si>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</si>
  <si>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</si>
  <si>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</si>
  <si>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</si>
  <si>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</si>
  <si>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</si>
  <si>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</si>
  <si>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</si>
  <si>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</si>
  <si>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</si>
  <si>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</si>
  <si>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</si>
  <si>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</si>
  <si>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</si>
  <si>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</si>
  <si>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</si>
  <si>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</si>
  <si>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</si>
  <si>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</si>
  <si>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</si>
  <si>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</si>
  <si>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</si>
  <si>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</si>
  <si>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</si>
  <si>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</si>
  <si>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</si>
  <si>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</si>
  <si>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</si>
  <si>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</si>
  <si>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</si>
  <si>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</si>
  <si>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</si>
  <si>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</si>
  <si>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</si>
  <si>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</si>
  <si>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</si>
  <si>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</si>
  <si>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</si>
  <si>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</si>
  <si>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</si>
  <si>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</si>
  <si>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</si>
  <si>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</si>
  <si>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</si>
  <si>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</si>
  <si>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</si>
  <si>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</si>
  <si>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</si>
  <si>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</si>
  <si>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</si>
  <si>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</si>
  <si>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</si>
  <si>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</si>
  <si>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</si>
  <si>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</si>
  <si>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</si>
  <si>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</si>
  <si>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</si>
  <si>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</si>
  <si>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</si>
  <si>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</si>
  <si>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</si>
  <si>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</si>
  <si>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</si>
  <si>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</si>
  <si>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</si>
  <si>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</si>
  <si>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</si>
  <si>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</si>
  <si>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</si>
  <si>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</si>
  <si>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</si>
  <si>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</si>
  <si>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</si>
  <si>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</si>
  <si>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</si>
  <si>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</si>
  <si>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</si>
  <si>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</si>
  <si>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</si>
  <si>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</si>
  <si>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</si>
  <si>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</si>
  <si>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</si>
  <si>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</si>
  <si>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</si>
  <si>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</si>
  <si>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</si>
  <si>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</si>
  <si>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</si>
  <si>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</si>
  <si>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</si>
  <si>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</si>
  <si>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</si>
  <si>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</si>
  <si>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</si>
  <si>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</si>
  <si>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</si>
  <si>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</si>
  <si>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</si>
  <si>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</si>
  <si>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</si>
  <si>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</si>
  <si>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</si>
  <si>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</si>
  <si>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</si>
  <si>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</si>
  <si>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</si>
  <si>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</si>
  <si>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</si>
  <si>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</si>
  <si>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</si>
  <si>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</si>
  <si>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</si>
  <si>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</si>
  <si>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</si>
  <si>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</si>
  <si>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</si>
  <si>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</si>
  <si>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</si>
  <si>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</si>
  <si>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</si>
  <si>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</si>
  <si>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</si>
  <si>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</si>
  <si>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</si>
  <si>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</si>
  <si>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</si>
  <si>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</si>
  <si>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</si>
  <si>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</si>
  <si>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</si>
  <si>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</si>
  <si>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</si>
  <si>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</si>
  <si>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</si>
  <si>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</si>
  <si>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</si>
  <si>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</si>
  <si>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</si>
  <si>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</si>
  <si>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</si>
  <si>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</si>
  <si>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</si>
  <si>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</si>
  <si>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</si>
  <si>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</si>
  <si>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</si>
  <si>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</si>
  <si>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</si>
  <si>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</si>
  <si>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</si>
  <si>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</si>
  <si>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</si>
  <si>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</si>
  <si>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</si>
  <si>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</si>
  <si>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</si>
  <si>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</si>
  <si>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</si>
  <si>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</si>
  <si>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</si>
  <si>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</si>
  <si>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</si>
  <si>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</si>
  <si>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</si>
  <si>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</si>
  <si>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</si>
  <si>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</si>
  <si>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</si>
  <si>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</si>
  <si>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</si>
  <si>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</si>
  <si>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</si>
  <si>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</si>
  <si>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</si>
  <si>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</si>
  <si>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</si>
  <si>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</si>
  <si>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</si>
  <si>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</si>
  <si>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</si>
  <si>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</si>
  <si>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</si>
  <si>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</si>
  <si>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</si>
  <si>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</si>
  <si>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</si>
  <si>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</si>
  <si>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</si>
  <si>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</si>
  <si>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</si>
  <si>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</si>
  <si>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</si>
  <si>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</si>
  <si>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</si>
  <si>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</si>
  <si>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</si>
  <si>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</si>
  <si>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</si>
  <si>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</si>
  <si>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</si>
  <si>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</si>
  <si>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</si>
  <si>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</si>
  <si>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</si>
  <si>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</si>
  <si>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</si>
  <si>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</si>
  <si>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</si>
  <si>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</si>
  <si>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</si>
  <si>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</si>
  <si>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</si>
  <si>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</si>
  <si>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</si>
  <si>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</si>
  <si>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</si>
  <si>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</si>
  <si>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</si>
  <si>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</si>
  <si>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</si>
  <si>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</si>
  <si>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</si>
  <si>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</si>
  <si>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</si>
  <si>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</si>
  <si>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</si>
  <si>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</si>
  <si>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</si>
  <si>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</si>
  <si>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</si>
  <si>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</si>
  <si>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</si>
  <si>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</si>
  <si>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</si>
  <si>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</si>
  <si>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</si>
  <si>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</si>
  <si>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</si>
  <si>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</si>
  <si>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</si>
  <si>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</si>
  <si>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</si>
  <si>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</si>
  <si>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</si>
  <si>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</si>
  <si>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</si>
  <si>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</si>
  <si>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</si>
  <si>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</si>
  <si>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</si>
  <si>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</si>
  <si>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</si>
  <si>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</si>
  <si>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</si>
  <si>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</si>
  <si>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</si>
  <si>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</si>
  <si>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</si>
  <si>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</si>
  <si>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</si>
  <si>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</si>
  <si>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</si>
  <si>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</si>
  <si>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</si>
  <si>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</si>
  <si>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</si>
  <si>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</si>
  <si>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</si>
  <si>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</si>
  <si>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</si>
  <si>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</si>
  <si>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</si>
  <si>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</si>
  <si>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</si>
  <si>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</si>
  <si>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</si>
  <si>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</si>
  <si>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</si>
  <si>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</si>
  <si>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</si>
  <si>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</si>
  <si>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</si>
  <si>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</si>
  <si>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</si>
  <si>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</si>
  <si>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</si>
  <si>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</si>
  <si>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</si>
  <si>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</si>
  <si>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</si>
  <si>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</si>
  <si>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</si>
  <si>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</si>
  <si>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</si>
  <si>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</si>
  <si>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</si>
  <si>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</si>
  <si>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</si>
  <si>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</si>
  <si>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</si>
  <si>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</si>
  <si>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</si>
  <si>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</si>
  <si>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</si>
  <si>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</si>
  <si>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</si>
  <si>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</si>
  <si>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</si>
  <si>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</si>
  <si>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</si>
  <si>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</si>
  <si>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</si>
  <si>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</si>
  <si>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</si>
  <si>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</si>
  <si>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</si>
  <si>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</si>
  <si>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</si>
  <si>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</si>
  <si>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</si>
  <si>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</si>
  <si>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</si>
  <si>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</si>
  <si>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</si>
  <si>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</si>
  <si>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</si>
  <si>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</si>
  <si>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</si>
  <si>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</si>
  <si>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</si>
  <si>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</si>
  <si>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</si>
  <si>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</si>
  <si>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</si>
  <si>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</si>
  <si>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</si>
  <si>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</si>
  <si>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</si>
  <si>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</si>
  <si>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</si>
  <si>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</si>
  <si>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</si>
  <si>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</si>
  <si>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</si>
  <si>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</si>
  <si>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</si>
  <si>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</si>
  <si>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</si>
  <si>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</si>
  <si>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</si>
  <si>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</si>
  <si>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</si>
  <si>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</si>
  <si>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</si>
  <si>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</si>
  <si>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</si>
  <si>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</si>
  <si>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</si>
  <si>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</si>
  <si>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</si>
  <si>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</si>
  <si>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</si>
  <si>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</si>
  <si>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</si>
  <si>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</si>
  <si>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</si>
  <si>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</si>
  <si>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</si>
  <si>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</si>
  <si>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</si>
  <si>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</si>
  <si>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</si>
  <si>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</si>
  <si>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</si>
  <si>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</si>
  <si>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</si>
  <si>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</si>
  <si>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</si>
  <si>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</si>
  <si>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</si>
  <si>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</si>
  <si>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</si>
  <si>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</si>
  <si>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</si>
  <si>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</si>
  <si>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</si>
  <si>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</si>
  <si>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</si>
  <si>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</si>
  <si>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</si>
  <si>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</si>
  <si>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</si>
  <si>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</si>
  <si>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</si>
  <si>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</si>
  <si>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</si>
  <si>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</si>
  <si>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</si>
  <si>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</si>
  <si>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</si>
  <si>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</si>
  <si>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</si>
  <si>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</si>
  <si>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</si>
  <si>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</si>
  <si>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</si>
  <si>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</si>
  <si>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</si>
  <si>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</si>
  <si>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</si>
  <si>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</si>
  <si>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</si>
  <si>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</si>
  <si>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</si>
  <si>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</si>
  <si>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</si>
  <si>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</si>
  <si>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</si>
  <si>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</si>
  <si>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</si>
  <si>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</si>
  <si>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</si>
  <si>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</si>
  <si>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</si>
  <si>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</si>
  <si>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</si>
  <si>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</si>
  <si>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</si>
  <si>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</si>
  <si>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</si>
  <si>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</si>
  <si>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</si>
  <si>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</si>
  <si>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</si>
  <si>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</si>
  <si>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</si>
  <si>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</si>
  <si>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</si>
  <si>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</si>
  <si>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</si>
  <si>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</si>
  <si>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</si>
  <si>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</si>
  <si>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</si>
  <si>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</si>
  <si>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</si>
  <si>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</si>
  <si>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</si>
  <si>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</si>
  <si>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</si>
  <si>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</si>
  <si>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</si>
  <si>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</si>
  <si>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</si>
  <si>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</si>
  <si>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</si>
  <si>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</si>
  <si>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</si>
  <si>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</si>
  <si>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</si>
  <si>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</si>
  <si>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</si>
  <si>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</si>
  <si>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</si>
  <si>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</si>
  <si>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</si>
  <si>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</si>
  <si>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</si>
  <si>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</si>
  <si>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</si>
  <si>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</si>
  <si>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</si>
  <si>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</si>
  <si>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</si>
  <si>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</si>
  <si>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</si>
  <si>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</si>
  <si>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</si>
  <si>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</si>
  <si>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</si>
  <si>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</si>
  <si>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</si>
  <si>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</si>
  <si>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</si>
  <si>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</si>
  <si>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</si>
  <si>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</si>
  <si>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</si>
  <si>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</si>
  <si>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</si>
  <si>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</si>
  <si>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</si>
  <si>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</si>
  <si>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</si>
  <si>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</si>
  <si>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</si>
  <si>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</si>
  <si>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</si>
  <si>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</si>
  <si>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</si>
  <si>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</si>
  <si>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</si>
  <si>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</si>
  <si>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</si>
  <si>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</si>
  <si>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</si>
  <si>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</si>
  <si>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</si>
  <si>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</si>
  <si>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</si>
  <si>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</si>
  <si>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</si>
  <si>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</si>
  <si>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</si>
  <si>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</si>
  <si>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</si>
  <si>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</si>
  <si>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</si>
  <si>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</si>
  <si>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</si>
  <si>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</si>
  <si>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</si>
  <si>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</si>
  <si>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</si>
  <si>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</si>
  <si>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</si>
  <si>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</si>
  <si>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</si>
  <si>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</si>
  <si>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</si>
  <si>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</si>
  <si>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</si>
  <si>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</si>
  <si>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</si>
  <si>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</si>
  <si>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</si>
  <si>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</si>
  <si>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</si>
  <si>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</si>
  <si>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</si>
  <si>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</si>
  <si>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</si>
  <si>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</si>
  <si>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</si>
  <si>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</si>
  <si>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</si>
  <si>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</si>
  <si>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</si>
  <si>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</si>
  <si>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</si>
  <si>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</si>
  <si>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</si>
  <si>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</si>
  <si>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</si>
  <si>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</si>
  <si>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</si>
  <si>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</si>
  <si>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</si>
  <si>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</si>
  <si>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</si>
  <si>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</si>
  <si>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</si>
  <si>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</si>
  <si>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</si>
  <si>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</si>
  <si>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</si>
  <si>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</si>
  <si>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</si>
  <si>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</si>
  <si>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</si>
  <si>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</si>
  <si>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</si>
  <si>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</si>
  <si>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</si>
  <si>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</si>
  <si>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</si>
  <si>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</si>
  <si>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</si>
  <si>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</si>
  <si>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</si>
  <si>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</si>
  <si>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</si>
  <si>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</si>
  <si>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</si>
  <si>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</si>
  <si>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</si>
  <si>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</si>
  <si>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</si>
  <si>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</si>
  <si>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</si>
  <si>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</si>
  <si>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</si>
  <si>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</si>
  <si>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</si>
  <si>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</si>
  <si>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</si>
  <si>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</si>
  <si>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</si>
  <si>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</si>
  <si>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</si>
  <si>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</si>
  <si>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</si>
  <si>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</si>
  <si>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</si>
  <si>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</si>
  <si>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</si>
  <si>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</si>
  <si>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</si>
  <si>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</si>
  <si>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</si>
  <si>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</si>
  <si>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</si>
  <si>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</si>
  <si>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</si>
  <si>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</si>
  <si>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</si>
  <si>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</si>
  <si>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</si>
  <si>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</si>
  <si>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</si>
  <si>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</si>
  <si>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</si>
  <si>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</si>
  <si>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</si>
  <si>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</si>
  <si>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</si>
  <si>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</si>
  <si>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</si>
  <si>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</si>
  <si>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</si>
  <si>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</si>
  <si>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</si>
  <si>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</si>
  <si>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</si>
  <si>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</si>
  <si>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</si>
  <si>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</si>
  <si>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</si>
  <si>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</si>
  <si>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</si>
  <si>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</si>
  <si>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</si>
  <si>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</si>
  <si>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</si>
  <si>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</si>
  <si>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</si>
  <si>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</si>
  <si>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</si>
  <si>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</si>
  <si>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</si>
  <si>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</si>
  <si>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</si>
  <si>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</si>
  <si>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</si>
  <si>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</si>
  <si>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</si>
  <si>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</si>
  <si>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</si>
  <si>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</si>
  <si>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</si>
  <si>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</si>
  <si>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</si>
  <si>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</si>
  <si>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</si>
  <si>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</si>
  <si>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</si>
  <si>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</si>
  <si>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</si>
  <si>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</si>
  <si>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</si>
  <si>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</si>
  <si>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</si>
  <si>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</si>
  <si>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</si>
  <si>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</si>
  <si>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</si>
  <si>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</si>
  <si>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</si>
  <si>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</si>
  <si>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</si>
  <si>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</si>
  <si>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</si>
  <si>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</si>
  <si>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</si>
  <si>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</si>
  <si>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</si>
  <si>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</si>
  <si>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</si>
  <si>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</si>
  <si>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</si>
  <si>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</si>
  <si>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</si>
  <si>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</si>
  <si>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</si>
  <si>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</si>
  <si>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</si>
  <si>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</si>
  <si>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</si>
  <si>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</si>
  <si>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</si>
  <si>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</si>
  <si>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</si>
  <si>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</si>
  <si>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</si>
  <si>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</si>
  <si>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</si>
  <si>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</si>
  <si>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</si>
  <si>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</si>
  <si>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</si>
  <si>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</si>
  <si>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</si>
  <si>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</si>
  <si>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</si>
  <si>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</si>
  <si>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</si>
  <si>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</si>
  <si>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</si>
  <si>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</si>
  <si>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</si>
  <si>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</si>
  <si>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</si>
  <si>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</si>
  <si>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</si>
  <si>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</si>
  <si>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</si>
  <si>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</si>
  <si>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</si>
  <si>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</si>
  <si>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</si>
  <si>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</si>
  <si>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</si>
  <si>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</si>
  <si>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</si>
  <si>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</si>
  <si>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</si>
  <si>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</si>
  <si>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</si>
  <si>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</si>
  <si>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</si>
  <si>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</si>
  <si>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</si>
  <si>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</si>
  <si>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</si>
  <si>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</si>
  <si>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</si>
  <si>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</si>
  <si>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</si>
  <si>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</si>
  <si>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</si>
  <si>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</si>
  <si>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</si>
  <si>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</si>
  <si>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</si>
  <si>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</si>
  <si>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</si>
  <si>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</si>
  <si>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</si>
  <si>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</si>
  <si>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</si>
  <si>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</si>
  <si>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</si>
  <si>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</si>
  <si>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</si>
  <si>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</si>
  <si>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</si>
  <si>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</si>
  <si>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</si>
  <si>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</si>
  <si>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</si>
  <si>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</si>
  <si>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</si>
  <si>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</si>
  <si>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</si>
  <si>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</si>
  <si>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</si>
  <si>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</si>
  <si>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</si>
  <si>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</si>
  <si>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</si>
  <si>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</si>
  <si>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</si>
  <si>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</si>
  <si>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</si>
  <si>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</si>
  <si>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</si>
  <si>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</si>
  <si>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</si>
  <si>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</si>
  <si>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</si>
  <si>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</si>
  <si>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</si>
  <si>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</si>
  <si>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</si>
  <si>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</si>
  <si>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</si>
  <si>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</si>
  <si>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</si>
  <si>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</si>
  <si>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</si>
  <si>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</si>
  <si>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</si>
  <si>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</si>
  <si>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</si>
  <si>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</si>
  <si>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</si>
  <si>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</si>
  <si>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</si>
  <si>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</si>
  <si>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</si>
  <si>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</si>
  <si>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</si>
  <si>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</si>
  <si>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</si>
  <si>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</si>
  <si>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</si>
  <si>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</si>
  <si>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</si>
  <si>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</si>
  <si>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</si>
  <si>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</si>
  <si>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</si>
  <si>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</si>
  <si>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</si>
  <si>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</si>
  <si>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</si>
  <si>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</si>
  <si>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</si>
  <si>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</si>
  <si>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</si>
  <si>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</si>
  <si>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</si>
  <si>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</si>
  <si>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</si>
  <si>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</si>
  <si>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</si>
  <si>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</si>
  <si>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</si>
  <si>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</si>
  <si>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</si>
  <si>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</si>
  <si>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</si>
  <si>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</si>
  <si>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</si>
  <si>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</si>
  <si>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</si>
  <si>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</si>
  <si>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</si>
  <si>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</si>
  <si>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</si>
  <si>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</si>
  <si>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</si>
  <si>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</si>
  <si>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</si>
  <si>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</si>
  <si>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</si>
  <si>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</si>
  <si>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</si>
  <si>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</si>
  <si>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</si>
  <si>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</si>
  <si>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</si>
  <si>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</si>
  <si>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</si>
  <si>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</si>
  <si>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</si>
  <si>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</si>
  <si>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</si>
  <si>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</si>
  <si>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</si>
  <si>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</si>
  <si>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</si>
  <si>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</si>
  <si>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</si>
  <si>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</si>
  <si>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</si>
  <si>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</si>
  <si>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</si>
  <si>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</si>
  <si>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</si>
  <si>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</si>
  <si>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</si>
  <si>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</si>
  <si>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</si>
  <si>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</si>
  <si>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</si>
  <si>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</si>
  <si>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</si>
  <si>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</si>
  <si>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</si>
  <si>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</si>
  <si>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</si>
  <si>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</si>
  <si>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</si>
  <si>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</si>
  <si>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</si>
  <si>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</si>
  <si>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</si>
  <si>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</si>
  <si>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</si>
  <si>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</si>
  <si>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</si>
  <si>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</si>
  <si>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</si>
  <si>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</si>
  <si>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</si>
  <si>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</si>
  <si>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</si>
  <si>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</si>
  <si>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</si>
  <si>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</si>
  <si>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</si>
  <si>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</si>
  <si>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</si>
  <si>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</si>
  <si>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</si>
  <si>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</si>
  <si>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</si>
  <si>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</si>
  <si>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</si>
  <si>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</si>
  <si>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</si>
  <si>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</si>
  <si>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</si>
  <si>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</si>
  <si>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</si>
  <si>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</si>
  <si>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</si>
  <si>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</si>
  <si>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</si>
  <si>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</si>
  <si>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</si>
  <si>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</si>
  <si>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</si>
  <si>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</si>
  <si>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</si>
  <si>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</si>
  <si>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</si>
  <si>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</si>
  <si>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</si>
  <si>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</si>
  <si>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</si>
  <si>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</si>
  <si>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</si>
  <si>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</si>
  <si>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</si>
  <si>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</si>
  <si>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</si>
  <si>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</si>
  <si>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</si>
  <si>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</si>
  <si>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</si>
  <si>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</si>
  <si>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</si>
  <si>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</si>
  <si>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</si>
  <si>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</si>
  <si>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</si>
  <si>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</si>
  <si>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</si>
  <si>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</si>
  <si>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</si>
  <si>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</si>
  <si>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</si>
  <si>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</si>
  <si>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</si>
  <si>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</si>
  <si>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</si>
  <si>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</si>
  <si>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</si>
  <si>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</si>
  <si>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</si>
  <si>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</si>
  <si>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</si>
  <si>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</si>
  <si>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</si>
  <si>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</si>
  <si>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</si>
  <si>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</si>
  <si>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</si>
  <si>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</si>
  <si>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</si>
  <si>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</si>
  <si>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</si>
  <si>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</si>
  <si>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</si>
  <si>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</si>
  <si>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</si>
  <si>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</si>
  <si>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</si>
  <si>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</si>
  <si>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</si>
  <si>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</si>
  <si>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</si>
  <si>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</si>
  <si>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</si>
  <si>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</si>
  <si>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</si>
  <si>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</si>
  <si>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</si>
  <si>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</si>
  <si>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</si>
  <si>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</si>
  <si>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</si>
  <si>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</si>
  <si>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</si>
  <si>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</si>
  <si>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</si>
  <si>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</si>
  <si>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</si>
  <si>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</si>
  <si>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</si>
  <si>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</si>
  <si>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</si>
  <si>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</si>
  <si>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</si>
  <si>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</si>
  <si>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</si>
  <si>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</si>
  <si>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</si>
  <si>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</si>
  <si>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</si>
  <si>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</si>
  <si>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</si>
  <si>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</si>
  <si>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</si>
  <si>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</si>
  <si>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</si>
  <si>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</si>
  <si>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</si>
  <si>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</si>
  <si>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</si>
  <si>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</si>
  <si>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</si>
  <si>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</si>
  <si>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</si>
  <si>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</si>
  <si>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</si>
  <si>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</si>
  <si>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</si>
  <si>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</si>
  <si>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</si>
  <si>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</si>
  <si>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</si>
  <si>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</si>
  <si>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</si>
  <si>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</si>
  <si>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</si>
  <si>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</si>
  <si>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</si>
  <si>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</si>
  <si>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</si>
  <si>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</si>
  <si>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</si>
  <si>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</si>
  <si>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</si>
  <si>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</si>
  <si>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</si>
  <si>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</si>
  <si>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</si>
  <si>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</si>
  <si>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</si>
  <si>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</si>
  <si>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</si>
  <si>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</si>
  <si>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</si>
  <si>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</si>
  <si>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</si>
  <si>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</si>
  <si>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</si>
  <si>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</si>
  <si>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</si>
  <si>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</si>
  <si>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</si>
  <si>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</si>
  <si>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</si>
  <si>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</si>
  <si>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</si>
  <si>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</si>
  <si>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</si>
  <si>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</si>
  <si>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</si>
  <si>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</si>
  <si>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</si>
  <si>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</si>
  <si>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</si>
  <si>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</si>
  <si>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</si>
  <si>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</si>
  <si>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</si>
  <si>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</si>
  <si>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</si>
  <si>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</si>
  <si>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</si>
  <si>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</si>
  <si>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</si>
  <si>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</si>
  <si>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</si>
  <si>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</si>
  <si>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</si>
  <si>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</si>
  <si>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</si>
  <si>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</si>
  <si>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</si>
  <si>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</si>
  <si>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</si>
  <si>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</si>
  <si>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</si>
  <si>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</si>
  <si>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</si>
  <si>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</si>
  <si>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</si>
  <si>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</si>
  <si>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</si>
  <si>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</si>
  <si>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</si>
  <si>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</si>
  <si>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</si>
  <si>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</si>
  <si>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</si>
  <si>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</si>
  <si>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</si>
  <si>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</si>
  <si>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</si>
  <si>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</si>
  <si>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</si>
  <si>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</si>
  <si>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</si>
  <si>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</si>
  <si>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</si>
  <si>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</si>
  <si>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</si>
  <si>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</si>
  <si>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</si>
  <si>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</si>
  <si>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</si>
  <si>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</si>
  <si>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</si>
  <si>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</si>
  <si>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</si>
  <si>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</si>
  <si>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</si>
  <si>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</si>
  <si>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</si>
  <si>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</si>
  <si>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</si>
  <si>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</si>
  <si>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</si>
  <si>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</si>
  <si>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</si>
  <si>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</si>
  <si>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</si>
  <si>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</si>
  <si>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</si>
  <si>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</si>
  <si>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</si>
  <si>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</si>
  <si>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</si>
  <si>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</si>
  <si>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</si>
  <si>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</si>
  <si>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</si>
  <si>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</si>
  <si>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</si>
  <si>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</si>
  <si>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</si>
  <si>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</si>
  <si>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</si>
  <si>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</si>
  <si>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</si>
  <si>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</si>
  <si>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</si>
  <si>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</si>
  <si>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</si>
  <si>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</si>
  <si>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</si>
  <si>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</si>
  <si>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</si>
  <si>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</si>
  <si>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</si>
  <si>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</si>
  <si>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</si>
  <si>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</si>
  <si>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</si>
  <si>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</si>
  <si>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</si>
  <si>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</si>
  <si>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</si>
  <si>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</si>
  <si>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</si>
  <si>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</si>
  <si>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</si>
  <si>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</si>
  <si>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</si>
  <si>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</si>
  <si>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</si>
  <si>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</si>
  <si>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</si>
  <si>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</si>
  <si>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</si>
  <si>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</si>
  <si>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</si>
  <si>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</si>
  <si>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</si>
  <si>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</si>
  <si>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</si>
  <si>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</si>
  <si>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</si>
  <si>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</si>
  <si>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</si>
  <si>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</si>
  <si>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</si>
  <si>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</si>
  <si>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</si>
  <si>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</si>
  <si>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</si>
  <si>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</si>
  <si>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</si>
  <si>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</si>
  <si>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</si>
  <si>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</si>
  <si>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</si>
  <si>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</si>
  <si>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</si>
  <si>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</si>
  <si>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</si>
  <si>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</si>
  <si>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</si>
  <si>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</si>
  <si>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</si>
  <si>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</si>
  <si>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</si>
  <si>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</si>
  <si>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</si>
  <si>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</si>
  <si>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</si>
  <si>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</si>
  <si>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</si>
  <si>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</si>
  <si>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</si>
  <si>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</si>
  <si>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</si>
  <si>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</si>
  <si>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</si>
  <si>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</si>
  <si>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</si>
  <si>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</si>
  <si>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</si>
  <si>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</si>
  <si>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</si>
  <si>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</si>
  <si>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</si>
  <si>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</si>
  <si>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</si>
  <si>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</si>
  <si>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</si>
  <si>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</si>
  <si>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</si>
  <si>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</si>
  <si>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</si>
  <si>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</si>
  <si>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</si>
  <si>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</si>
  <si>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</si>
  <si>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</si>
  <si>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</si>
  <si>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</si>
  <si>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</si>
  <si>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</si>
  <si>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</si>
  <si>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</si>
  <si>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</si>
  <si>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</si>
  <si>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</si>
  <si>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</si>
  <si>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</si>
  <si>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</si>
  <si>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</si>
  <si>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</si>
  <si>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</si>
  <si>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</si>
  <si>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</si>
  <si>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</si>
  <si>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</si>
  <si>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</si>
  <si>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</si>
  <si>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</si>
  <si>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</si>
  <si>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</si>
  <si>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</si>
  <si>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</si>
  <si>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</si>
  <si>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</si>
  <si>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</si>
  <si>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</si>
  <si>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</si>
  <si>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</si>
  <si>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</si>
  <si>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</si>
  <si>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</si>
  <si>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</si>
  <si>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</si>
  <si>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</si>
  <si>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</si>
  <si>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</si>
  <si>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</si>
  <si>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</si>
  <si>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</si>
  <si>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</si>
  <si>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</si>
  <si>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</si>
  <si>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</si>
  <si>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</si>
  <si>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</si>
  <si>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</si>
  <si>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</si>
  <si>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</si>
  <si>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</si>
  <si>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</si>
  <si>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</si>
  <si>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</si>
  <si>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</si>
  <si>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</si>
  <si>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</si>
  <si>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</si>
  <si>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</si>
  <si>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</si>
  <si>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</si>
  <si>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</si>
  <si>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</si>
  <si>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</si>
  <si>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</si>
  <si>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</si>
  <si>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</si>
  <si>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</si>
  <si>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</si>
  <si>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</si>
  <si>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</si>
  <si>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</si>
  <si>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</si>
  <si>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</si>
  <si>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</si>
  <si>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</si>
  <si>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</si>
  <si>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</si>
  <si>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</si>
  <si>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</si>
  <si>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</si>
  <si>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</si>
  <si>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</si>
  <si>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</si>
  <si>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</si>
  <si>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</si>
  <si>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</si>
  <si>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</si>
  <si>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</si>
  <si>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</si>
  <si>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</si>
  <si>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</si>
  <si>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</si>
  <si>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</si>
  <si>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</si>
  <si>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</si>
  <si>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</si>
  <si>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</si>
  <si>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</si>
  <si>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</si>
  <si>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</si>
  <si>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</si>
  <si>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</si>
  <si>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</si>
  <si>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</si>
  <si>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</si>
  <si>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</si>
  <si>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</si>
  <si>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</si>
  <si>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</si>
  <si>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</si>
  <si>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</si>
  <si>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</si>
  <si>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</si>
  <si>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</si>
  <si>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</si>
  <si>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</si>
  <si>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</si>
  <si>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</si>
  <si>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</si>
  <si>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</si>
  <si>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</si>
  <si>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</si>
  <si>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</si>
  <si>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</si>
  <si>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</si>
  <si>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</si>
  <si>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</si>
  <si>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</si>
  <si>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</si>
  <si>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</si>
  <si>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</si>
  <si>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</si>
  <si>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</si>
  <si>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</si>
  <si>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</si>
  <si>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</si>
  <si>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</si>
  <si>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</si>
  <si>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</si>
  <si>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</si>
  <si>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</si>
  <si>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</si>
  <si>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</si>
  <si>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</si>
  <si>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</si>
  <si>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</si>
  <si>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</si>
  <si>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</si>
  <si>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</si>
  <si>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</si>
  <si>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</si>
  <si>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</si>
  <si>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</si>
  <si>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</si>
  <si>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</si>
  <si>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</si>
  <si>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</si>
  <si>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</si>
  <si>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</si>
  <si>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</si>
  <si>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</si>
  <si>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</si>
  <si>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</si>
  <si>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</si>
  <si>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</si>
  <si>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</si>
  <si>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</si>
  <si>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</si>
  <si>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</si>
  <si>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</si>
  <si>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</si>
  <si>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</si>
  <si>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</si>
  <si>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</si>
  <si>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</si>
  <si>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</si>
  <si>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</si>
  <si>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Quantity statistics</t>
  </si>
  <si>
    <t>Count</t>
  </si>
  <si>
    <t>Mean</t>
  </si>
  <si>
    <t>Median</t>
  </si>
  <si>
    <t>Minimum</t>
  </si>
  <si>
    <t>Maximum</t>
  </si>
  <si>
    <t>UnitPrice Statistics</t>
  </si>
  <si>
    <t>ItemsInCart Statistics</t>
  </si>
  <si>
    <t>TotalPrice Statistics</t>
  </si>
  <si>
    <t>Row Labels</t>
  </si>
  <si>
    <t>Grand Total</t>
  </si>
  <si>
    <t>Sum of Quantity</t>
  </si>
  <si>
    <t>Count of PaymentMethod</t>
  </si>
  <si>
    <t>Count of OrderStatus</t>
  </si>
  <si>
    <t>Count of ReferralSource</t>
  </si>
  <si>
    <t>Product sales are fairly balanced, with no product showing an extremely high or low difference</t>
  </si>
  <si>
    <r>
      <rPr>
        <sz val="11"/>
        <color theme="1"/>
        <rFont val="Calibri"/>
        <family val="2"/>
        <scheme val="minor"/>
      </rPr>
      <t xml:space="preserve">Chair is the highest-selling product with </t>
    </r>
    <r>
      <rPr>
        <b/>
        <sz val="11"/>
        <color theme="1"/>
        <rFont val="Calibri"/>
        <family val="2"/>
        <scheme val="minor"/>
      </rPr>
      <t>562 units sold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</si>
  <si>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Calibri"/>
        <family val="2"/>
        <scheme val="minor"/>
      </rPr>
      <t xml:space="preserve">Phone is the lowest-selling product with </t>
    </r>
    <r>
      <rPr>
        <b/>
        <sz val="11"/>
        <color theme="1"/>
        <rFont val="Calibri"/>
        <family val="2"/>
        <scheme val="minor"/>
      </rPr>
      <t>411 units sold</t>
    </r>
    <r>
      <rPr>
        <sz val="11"/>
        <color theme="1"/>
        <rFont val="Calibri"/>
        <family val="2"/>
        <scheme val="minor"/>
      </rPr>
      <t>.</t>
    </r>
  </si>
  <si>
    <r>
      <t>Online</t>
    </r>
    <r>
      <rPr>
        <sz val="11"/>
        <color theme="1"/>
        <rFont val="Calibri"/>
        <family val="2"/>
        <scheme val="minor"/>
      </rPr>
      <t xml:space="preserve"> is the most frequently used payment method, with </t>
    </r>
    <r>
      <rPr>
        <b/>
        <sz val="11"/>
        <color theme="1"/>
        <rFont val="Calibri"/>
        <family val="2"/>
        <scheme val="minor"/>
      </rPr>
      <t>258 orders</t>
    </r>
    <r>
      <rPr>
        <sz val="11"/>
        <color theme="1"/>
        <rFont val="Calibri"/>
        <family val="2"/>
        <scheme val="minor"/>
      </rPr>
      <t>.</t>
    </r>
  </si>
  <si>
    <r>
      <t>Gift Card</t>
    </r>
    <r>
      <rPr>
        <sz val="11"/>
        <color theme="1"/>
        <rFont val="Calibri"/>
        <family val="2"/>
        <scheme val="minor"/>
      </rPr>
      <t xml:space="preserve"> is the least used payment method, with </t>
    </r>
    <r>
      <rPr>
        <b/>
        <sz val="11"/>
        <color theme="1"/>
        <rFont val="Calibri"/>
        <family val="2"/>
        <scheme val="minor"/>
      </rPr>
      <t>230 orders</t>
    </r>
    <r>
      <rPr>
        <sz val="11"/>
        <color theme="1"/>
        <rFont val="Calibri"/>
        <family val="2"/>
        <scheme val="minor"/>
      </rPr>
      <t>.</t>
    </r>
  </si>
  <si>
    <t>The distribution of payment methods is fairly balanced, indicating that customers use a variety of payment options rather than relying on a single method.</t>
  </si>
  <si>
    <r>
      <t>Cancelled</t>
    </r>
    <r>
      <rPr>
        <sz val="11"/>
        <color theme="1"/>
        <rFont val="Calibri"/>
        <family val="2"/>
        <scheme val="minor"/>
      </rPr>
      <t xml:space="preserve"> orders are the highest, with </t>
    </r>
    <r>
      <rPr>
        <b/>
        <sz val="11"/>
        <color theme="1"/>
        <rFont val="Calibri"/>
        <family val="2"/>
        <scheme val="minor"/>
      </rPr>
      <t>250 orders</t>
    </r>
    <r>
      <rPr>
        <sz val="11"/>
        <color theme="1"/>
        <rFont val="Calibri"/>
        <family val="2"/>
        <scheme val="minor"/>
      </rPr>
      <t>.</t>
    </r>
  </si>
  <si>
    <r>
      <t>Delivered</t>
    </r>
    <r>
      <rPr>
        <sz val="11"/>
        <color theme="1"/>
        <rFont val="Calibri"/>
        <family val="2"/>
        <scheme val="minor"/>
      </rPr>
      <t xml:space="preserve"> orders are the lowest, with </t>
    </r>
    <r>
      <rPr>
        <b/>
        <sz val="11"/>
        <color theme="1"/>
        <rFont val="Calibri"/>
        <family val="2"/>
        <scheme val="minor"/>
      </rPr>
      <t>231 orders</t>
    </r>
    <r>
      <rPr>
        <sz val="11"/>
        <color theme="1"/>
        <rFont val="Calibri"/>
        <family val="2"/>
        <scheme val="minor"/>
      </rPr>
      <t>.</t>
    </r>
  </si>
  <si>
    <t>The number of orders in each status is relatively balanced, with only small differences between categories.</t>
  </si>
  <si>
    <t>The high number of cancelled and returned orders may indicate areas where the business could investigate customer satisfaction, delivery issues, or order fulfillment processes.</t>
  </si>
  <si>
    <r>
      <t>Instagram</t>
    </r>
    <r>
      <rPr>
        <sz val="11"/>
        <color theme="1"/>
        <rFont val="Calibri"/>
        <family val="2"/>
        <scheme val="minor"/>
      </rPr>
      <t xml:space="preserve"> is the most effective referral source, bringing </t>
    </r>
    <r>
      <rPr>
        <b/>
        <sz val="11"/>
        <color theme="1"/>
        <rFont val="Calibri"/>
        <family val="2"/>
        <scheme val="minor"/>
      </rPr>
      <t>259 customers</t>
    </r>
    <r>
      <rPr>
        <sz val="11"/>
        <color theme="1"/>
        <rFont val="Calibri"/>
        <family val="2"/>
        <scheme val="minor"/>
      </rPr>
      <t>.</t>
    </r>
  </si>
  <si>
    <r>
      <t>Referral</t>
    </r>
    <r>
      <rPr>
        <sz val="11"/>
        <color theme="1"/>
        <rFont val="Calibri"/>
        <family val="2"/>
        <scheme val="minor"/>
      </rPr>
      <t xml:space="preserve"> (word-of-mouth) is the least common source, with </t>
    </r>
    <r>
      <rPr>
        <b/>
        <sz val="11"/>
        <color theme="1"/>
        <rFont val="Calibri"/>
        <family val="2"/>
        <scheme val="minor"/>
      </rPr>
      <t>222 customers</t>
    </r>
    <r>
      <rPr>
        <sz val="11"/>
        <color theme="1"/>
        <rFont val="Calibri"/>
        <family val="2"/>
        <scheme val="minor"/>
      </rPr>
      <t>.</t>
    </r>
  </si>
  <si>
    <t>Customers were acquired through multiple marketing channels, showing a diversified customer acquisition strategy.</t>
  </si>
  <si>
    <r>
      <t xml:space="preserve">Social media platforms, particularly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>, appear to be effective channels for attracting customers.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</si>
</sst>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p2.xlsx]Product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Sales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C-4596-A3B5-FA99129BE6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031896"/>
        <c:axId val="549031536"/>
      </c:barChart>
      <c:catAx>
        <c:axId val="54903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>
            <c:manualLayout>
              <c:xMode val="edge"/>
              <c:yMode val="edge"/>
              <c:x val="0.42865157480314958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31536"/>
        <c:crosses val="autoZero"/>
        <c:auto val="1"/>
        <c:lblAlgn val="ctr"/>
        <c:lblOffset val="100"/>
        <c:noMultiLvlLbl val="0"/>
      </c:catAx>
      <c:valAx>
        <c:axId val="5490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quantity sold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969830854476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3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p2.xlsx]Payment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analysis'!$B$4:$B$9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4-42EE-B614-15C4953A80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9829056"/>
        <c:axId val="659829416"/>
      </c:barChart>
      <c:catAx>
        <c:axId val="65982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</a:t>
                </a:r>
                <a:r>
                  <a:rPr lang="en-US" baseline="0"/>
                  <a:t> method</a:t>
                </a:r>
              </a:p>
            </c:rich>
          </c:tx>
          <c:layout>
            <c:manualLayout>
              <c:xMode val="edge"/>
              <c:yMode val="edge"/>
              <c:x val="0.38100568678915131"/>
              <c:y val="0.81488626421697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29416"/>
        <c:crosses val="autoZero"/>
        <c:auto val="1"/>
        <c:lblAlgn val="ctr"/>
        <c:lblOffset val="100"/>
        <c:noMultiLvlLbl val="0"/>
      </c:catAx>
      <c:valAx>
        <c:axId val="65982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2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p2.xlsx]Order status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9-4FA5-82FC-3896BE8ED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4526776"/>
        <c:axId val="664522816"/>
      </c:barChart>
      <c:catAx>
        <c:axId val="664526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</a:t>
                </a:r>
                <a:r>
                  <a:rPr lang="en-US" baseline="0"/>
                  <a:t> status</a:t>
                </a:r>
              </a:p>
            </c:rich>
          </c:tx>
          <c:layout>
            <c:manualLayout>
              <c:xMode val="edge"/>
              <c:yMode val="edge"/>
              <c:x val="0.42234601924759407"/>
              <c:y val="0.82877515310586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22816"/>
        <c:crosses val="autoZero"/>
        <c:auto val="1"/>
        <c:lblAlgn val="ctr"/>
        <c:lblOffset val="100"/>
        <c:noMultiLvlLbl val="0"/>
      </c:catAx>
      <c:valAx>
        <c:axId val="6645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2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p2.xlsx]Refferal 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'Refferal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'Refferal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'Refferal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D-45B7-88E4-88ED63605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034776"/>
        <c:axId val="549035496"/>
      </c:barChart>
      <c:catAx>
        <c:axId val="54903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Referral</a:t>
                </a:r>
                <a:r>
                  <a:rPr lang="en-US" baseline="0"/>
                  <a:t> analysis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252646544181982"/>
              <c:y val="0.81488626421697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35496"/>
        <c:crosses val="autoZero"/>
        <c:auto val="1"/>
        <c:lblAlgn val="ctr"/>
        <c:lblOffset val="100"/>
        <c:noMultiLvlLbl val="0"/>
      </c:catAx>
      <c:valAx>
        <c:axId val="54903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3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604344</xdr:colOff>
      <xdr:row>3</xdr:row>
      <xdr:rowOff>22481</xdr:rowOff>
    </xdr:from>
    <xdr:to>
      <xdr:col>12</xdr:col>
      <xdr:colOff>271517</xdr:colOff>
      <xdr:row>18</xdr:row>
      <xdr:rowOff>28612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C9ADA-3C18-7ED7-9EEF-C1950C744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2</xdr:row>
      <xdr:rowOff>31750</xdr:rowOff>
    </xdr:from>
    <xdr:to>
      <xdr:col>12</xdr:col>
      <xdr:colOff>327025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FCC7D-64FF-3472-CC97-425938F76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127000</xdr:rowOff>
    </xdr:from>
    <xdr:to>
      <xdr:col>12</xdr:col>
      <xdr:colOff>314325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D37BD-B67E-85C2-ECF6-ED5FFDCB8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6350</xdr:rowOff>
    </xdr:from>
    <xdr:to>
      <xdr:col>11</xdr:col>
      <xdr:colOff>333375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542F1-ED3E-3AE1-AF1D-D6FEA1D37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yber World" refreshedDate="46227.57378460648" createdVersion="8" refreshedVersion="8" minRefreshableVersion="3" recordCount="1200" xr:uid="{1AA3803E-9C05-41AE-B212-05C849F5365B}">
  <cacheSource type="worksheet">
    <worksheetSource ref="A1:N1201" sheet="data set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E2841-31B4-48B1-9121-CEF8E8417C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270D-A01D-43CA-88D9-83F180A52B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7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80BB6-5746-46C1-B9CD-683F250939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EFA92-5B84-435A-B191-1A4C7C867D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1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99EB-413F-4275-81A9-491B9A14AE35}">
  <dimension ref="A3:G23"/>
  <sheetViews>
    <sheetView tabSelected="1" zoomScale="87" workbookViewId="0">
      <selection activeCell="H27" sqref="H27"/>
    </sheetView>
  </sheetViews>
  <sheetFormatPr defaultRowHeight="14.5" x14ac:dyDescent="0.35"/>
  <cols>
    <col min="1" max="1" width="12.81640625" bestFit="1" customWidth="1"/>
    <col min="2" max="2" width="14.6328125" bestFit="1" customWidth="1"/>
  </cols>
  <sheetData>
    <row r="3" spans="1:2" x14ac:dyDescent="0.35">
      <c r="A3" s="4" t="s">
        <v>4292</v>
      </c>
      <c r="B3" t="s">
        <v>4294</v>
      </c>
    </row>
    <row r="4" spans="1:2" x14ac:dyDescent="0.35">
      <c r="A4" s="5" t="s">
        <v>2406</v>
      </c>
      <c r="B4">
        <v>562</v>
      </c>
    </row>
    <row r="5" spans="1:2" x14ac:dyDescent="0.35">
      <c r="A5" s="5" t="s">
        <v>2409</v>
      </c>
      <c r="B5">
        <v>508</v>
      </c>
    </row>
    <row r="6" spans="1:2" x14ac:dyDescent="0.35">
      <c r="A6" s="5" t="s">
        <v>2408</v>
      </c>
      <c r="B6">
        <v>535</v>
      </c>
    </row>
    <row r="7" spans="1:2" x14ac:dyDescent="0.35">
      <c r="A7" s="5" t="s">
        <v>2403</v>
      </c>
      <c r="B7">
        <v>480</v>
      </c>
    </row>
    <row r="8" spans="1:2" x14ac:dyDescent="0.35">
      <c r="A8" s="5" t="s">
        <v>2404</v>
      </c>
      <c r="B8">
        <v>411</v>
      </c>
    </row>
    <row r="9" spans="1:2" x14ac:dyDescent="0.35">
      <c r="A9" s="5" t="s">
        <v>2407</v>
      </c>
      <c r="B9">
        <v>542</v>
      </c>
    </row>
    <row r="10" spans="1:2" x14ac:dyDescent="0.35">
      <c r="A10" s="5" t="s">
        <v>2405</v>
      </c>
      <c r="B10">
        <v>497</v>
      </c>
    </row>
    <row r="11" spans="1:2" x14ac:dyDescent="0.35">
      <c r="A11" s="5" t="s">
        <v>4293</v>
      </c>
      <c r="B11">
        <v>3535</v>
      </c>
    </row>
    <row r="21" spans="7:7" x14ac:dyDescent="0.35">
      <c r="G21" s="6" t="s">
        <v>4299</v>
      </c>
    </row>
    <row r="22" spans="7:7" x14ac:dyDescent="0.35">
      <c r="G22" s="6" t="s">
        <v>4300</v>
      </c>
    </row>
    <row r="23" spans="7:7" x14ac:dyDescent="0.35">
      <c r="G23" t="s">
        <v>4298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C7F8-8F5E-4EEF-B8E3-3C1D4776F37E}">
  <dimension ref="A3:B27"/>
  <sheetViews>
    <sheetView workbookViewId="0">
      <selection activeCell="A25" sqref="A25:A27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4" t="s">
        <v>4292</v>
      </c>
      <c r="B3" t="s">
        <v>4295</v>
      </c>
    </row>
    <row r="4" spans="1:2" x14ac:dyDescent="0.35">
      <c r="A4" s="5" t="s">
        <v>3069</v>
      </c>
      <c r="B4">
        <v>246</v>
      </c>
    </row>
    <row r="5" spans="1:2" x14ac:dyDescent="0.35">
      <c r="A5" s="5" t="s">
        <v>3067</v>
      </c>
      <c r="B5">
        <v>234</v>
      </c>
    </row>
    <row r="6" spans="1:2" x14ac:dyDescent="0.35">
      <c r="A6" s="5" t="s">
        <v>3065</v>
      </c>
      <c r="B6">
        <v>232</v>
      </c>
    </row>
    <row r="7" spans="1:2" x14ac:dyDescent="0.35">
      <c r="A7" s="5" t="s">
        <v>3068</v>
      </c>
      <c r="B7">
        <v>230</v>
      </c>
    </row>
    <row r="8" spans="1:2" x14ac:dyDescent="0.35">
      <c r="A8" s="5" t="s">
        <v>3066</v>
      </c>
      <c r="B8">
        <v>258</v>
      </c>
    </row>
    <row r="9" spans="1:2" x14ac:dyDescent="0.35">
      <c r="A9" s="5" t="s">
        <v>4293</v>
      </c>
      <c r="B9">
        <v>1200</v>
      </c>
    </row>
    <row r="25" spans="1:1" x14ac:dyDescent="0.35">
      <c r="A25" s="6" t="s">
        <v>4301</v>
      </c>
    </row>
    <row r="26" spans="1:1" x14ac:dyDescent="0.35">
      <c r="A26" s="6" t="s">
        <v>4302</v>
      </c>
    </row>
    <row r="27" spans="1:1" x14ac:dyDescent="0.35">
      <c r="A27" t="s">
        <v>4303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D26B-2EB2-40D4-A974-D97A1517F677}">
  <dimension ref="A3:B28"/>
  <sheetViews>
    <sheetView workbookViewId="0">
      <selection activeCell="A25" sqref="A25:A28"/>
    </sheetView>
  </sheetViews>
  <sheetFormatPr defaultRowHeight="14.5" x14ac:dyDescent="0.35"/>
  <cols>
    <col min="1" max="1" width="12.36328125" bestFit="1" customWidth="1"/>
    <col min="2" max="2" width="18.90625" bestFit="1" customWidth="1"/>
  </cols>
  <sheetData>
    <row r="3" spans="1:2" x14ac:dyDescent="0.35">
      <c r="A3" s="4" t="s">
        <v>4292</v>
      </c>
      <c r="B3" t="s">
        <v>4296</v>
      </c>
    </row>
    <row r="4" spans="1:2" x14ac:dyDescent="0.35">
      <c r="A4" s="5" t="s">
        <v>3071</v>
      </c>
      <c r="B4">
        <v>250</v>
      </c>
    </row>
    <row r="5" spans="1:2" x14ac:dyDescent="0.35">
      <c r="A5" s="5" t="s">
        <v>3073</v>
      </c>
      <c r="B5">
        <v>231</v>
      </c>
    </row>
    <row r="6" spans="1:2" x14ac:dyDescent="0.35">
      <c r="A6" s="5" t="s">
        <v>3074</v>
      </c>
      <c r="B6">
        <v>237</v>
      </c>
    </row>
    <row r="7" spans="1:2" x14ac:dyDescent="0.35">
      <c r="A7" s="5" t="s">
        <v>3072</v>
      </c>
      <c r="B7">
        <v>247</v>
      </c>
    </row>
    <row r="8" spans="1:2" x14ac:dyDescent="0.35">
      <c r="A8" s="5" t="s">
        <v>3070</v>
      </c>
      <c r="B8">
        <v>235</v>
      </c>
    </row>
    <row r="9" spans="1:2" x14ac:dyDescent="0.35">
      <c r="A9" s="5" t="s">
        <v>4293</v>
      </c>
      <c r="B9">
        <v>1200</v>
      </c>
    </row>
    <row r="25" spans="1:1" x14ac:dyDescent="0.35">
      <c r="A25" s="6" t="s">
        <v>4304</v>
      </c>
    </row>
    <row r="26" spans="1:1" x14ac:dyDescent="0.35">
      <c r="A26" s="6" t="s">
        <v>4305</v>
      </c>
    </row>
    <row r="27" spans="1:1" x14ac:dyDescent="0.35">
      <c r="A27" t="s">
        <v>4306</v>
      </c>
    </row>
    <row r="28" spans="1:1" x14ac:dyDescent="0.35">
      <c r="A28" t="s">
        <v>4307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0912-33F8-4CC0-8F14-052CD7E9836D}">
  <dimension ref="A3:B27"/>
  <sheetViews>
    <sheetView workbookViewId="0">
      <selection activeCell="A24" sqref="A24:A27"/>
    </sheetView>
  </sheetViews>
  <sheetFormatPr defaultRowHeight="14.5" x14ac:dyDescent="0.35"/>
  <cols>
    <col min="1" max="1" width="12.36328125" bestFit="1" customWidth="1"/>
    <col min="2" max="2" width="21.08984375" bestFit="1" customWidth="1"/>
  </cols>
  <sheetData>
    <row r="3" spans="1:2" x14ac:dyDescent="0.35">
      <c r="A3" s="4" t="s">
        <v>4292</v>
      </c>
      <c r="B3" t="s">
        <v>4297</v>
      </c>
    </row>
    <row r="4" spans="1:2" x14ac:dyDescent="0.35">
      <c r="A4" s="5" t="s">
        <v>4280</v>
      </c>
      <c r="B4">
        <v>250</v>
      </c>
    </row>
    <row r="5" spans="1:2" x14ac:dyDescent="0.35">
      <c r="A5" s="5" t="s">
        <v>4281</v>
      </c>
      <c r="B5">
        <v>228</v>
      </c>
    </row>
    <row r="6" spans="1:2" x14ac:dyDescent="0.35">
      <c r="A6" s="5" t="s">
        <v>4282</v>
      </c>
      <c r="B6">
        <v>241</v>
      </c>
    </row>
    <row r="7" spans="1:2" x14ac:dyDescent="0.35">
      <c r="A7" s="5" t="s">
        <v>4278</v>
      </c>
      <c r="B7">
        <v>259</v>
      </c>
    </row>
    <row r="8" spans="1:2" x14ac:dyDescent="0.35">
      <c r="A8" s="5" t="s">
        <v>4279</v>
      </c>
      <c r="B8">
        <v>222</v>
      </c>
    </row>
    <row r="9" spans="1:2" x14ac:dyDescent="0.35">
      <c r="A9" s="5" t="s">
        <v>4293</v>
      </c>
      <c r="B9">
        <v>1200</v>
      </c>
    </row>
    <row r="24" spans="1:1" x14ac:dyDescent="0.35">
      <c r="A24" s="6" t="s">
        <v>4308</v>
      </c>
    </row>
    <row r="25" spans="1:1" x14ac:dyDescent="0.35">
      <c r="A25" s="6" t="s">
        <v>4309</v>
      </c>
    </row>
    <row r="26" spans="1:1" x14ac:dyDescent="0.35">
      <c r="A26" t="s">
        <v>4310</v>
      </c>
    </row>
    <row r="27" spans="1:1" x14ac:dyDescent="0.35">
      <c r="A27" t="s">
        <v>4311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zoomScale="91" workbookViewId="0">
      <selection activeCell="A7" sqref="A7"/>
    </sheetView>
  </sheetViews>
  <sheetFormatPr defaultRowHeight="14.5" x14ac:dyDescent="0.35"/>
  <cols>
    <col min="1" max="1" width="10.7265625" customWidth="1"/>
    <col min="2" max="2" width="12.36328125" customWidth="1"/>
    <col min="3" max="3" width="11.7265625" customWidth="1"/>
    <col min="4" max="4" width="8.90625" customWidth="1"/>
    <col min="6" max="6" width="9.26953125" customWidth="1"/>
    <col min="7" max="7" width="15.7265625" customWidth="1"/>
    <col min="8" max="8" width="15.36328125" customWidth="1"/>
    <col min="9" max="9" width="11.453125" customWidth="1"/>
    <col min="10" max="10" width="14.54296875" customWidth="1"/>
    <col min="11" max="11" width="11.453125" customWidth="1"/>
    <col min="12" max="12" width="12" customWidth="1"/>
    <col min="13" max="13" width="13.26953125" customWidth="1"/>
    <col min="17" max="17" width="18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3" t="s">
        <v>4283</v>
      </c>
    </row>
    <row r="2" spans="1:18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Q2" t="s">
        <v>4284</v>
      </c>
      <c r="R2">
        <f>COUNT(E2:E1201)</f>
        <v>1200</v>
      </c>
    </row>
    <row r="3" spans="1:18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Q3" t="s">
        <v>4285</v>
      </c>
      <c r="R3">
        <f>AVERAGE(E2:E1201)</f>
        <v>2.9458333333333333</v>
      </c>
    </row>
    <row r="4" spans="1:18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Q4" t="s">
        <v>4286</v>
      </c>
      <c r="R4">
        <f>MEDIAN(E2:E1201)</f>
        <v>3</v>
      </c>
    </row>
    <row r="5" spans="1:18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Q5" t="s">
        <v>4287</v>
      </c>
      <c r="R5">
        <f>MIN(E2:E1201)</f>
        <v>1</v>
      </c>
    </row>
    <row r="6" spans="1:18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Q6" t="s">
        <v>4288</v>
      </c>
      <c r="R6">
        <f>MAX(E2:E1201)</f>
        <v>5</v>
      </c>
    </row>
    <row r="7" spans="1:18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8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Q8" t="s">
        <v>4289</v>
      </c>
    </row>
    <row r="9" spans="1:18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Q9" t="s">
        <v>4284</v>
      </c>
      <c r="R9">
        <f>COUNT(F2:F1201)</f>
        <v>1200</v>
      </c>
    </row>
    <row r="10" spans="1:18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Q10" t="s">
        <v>4285</v>
      </c>
      <c r="R10">
        <f>AVERAGE(F2:F1201)</f>
        <v>356.41275000000007</v>
      </c>
    </row>
    <row r="11" spans="1:18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Q11" t="s">
        <v>4286</v>
      </c>
      <c r="R11">
        <f>MEDIAN(F2:F1201)</f>
        <v>364.21</v>
      </c>
    </row>
    <row r="12" spans="1:18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Q12" t="s">
        <v>4287</v>
      </c>
      <c r="R12">
        <f>MIN(F2:F1201)</f>
        <v>11.39</v>
      </c>
    </row>
    <row r="13" spans="1:18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Q13" t="s">
        <v>4288</v>
      </c>
      <c r="R13">
        <f>MAX(F2:F1201)</f>
        <v>699.93</v>
      </c>
    </row>
    <row r="14" spans="1:18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8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Q15" t="s">
        <v>4290</v>
      </c>
    </row>
    <row r="16" spans="1:18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Q16" t="s">
        <v>4284</v>
      </c>
      <c r="R16">
        <f>COUNT(K2:K1201)</f>
        <v>1200</v>
      </c>
    </row>
    <row r="17" spans="1:18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Q17" t="s">
        <v>4285</v>
      </c>
      <c r="R17">
        <f>AVERAGE(K2:K1201)</f>
        <v>5.4850000000000003</v>
      </c>
    </row>
    <row r="18" spans="1:18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Q18" t="s">
        <v>4286</v>
      </c>
      <c r="R18">
        <f>MEDIAN(K2:K1201)</f>
        <v>5</v>
      </c>
    </row>
    <row r="19" spans="1:18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Q19" t="s">
        <v>4287</v>
      </c>
      <c r="R19">
        <f>MIN(K2:K1201)</f>
        <v>1</v>
      </c>
    </row>
    <row r="20" spans="1:18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Q20" t="s">
        <v>4288</v>
      </c>
      <c r="R20">
        <f>MAX(K2:K1201)</f>
        <v>10</v>
      </c>
    </row>
    <row r="21" spans="1:18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8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Q22" t="s">
        <v>4291</v>
      </c>
    </row>
    <row r="23" spans="1:18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Q23" t="s">
        <v>4284</v>
      </c>
      <c r="R23">
        <f>COUNT(N2:N1201)</f>
        <v>1200</v>
      </c>
    </row>
    <row r="24" spans="1:18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Q24" t="s">
        <v>4285</v>
      </c>
      <c r="R24">
        <f>AVERAGE(N2:N1201)</f>
        <v>1053.9683000000005</v>
      </c>
    </row>
    <row r="25" spans="1:18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Q25" t="s">
        <v>4286</v>
      </c>
      <c r="R25">
        <f>MEDIAN(N2:N1201)</f>
        <v>823.61500000000001</v>
      </c>
    </row>
    <row r="26" spans="1:18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Q26" t="s">
        <v>4287</v>
      </c>
      <c r="R26">
        <f>MIN(N2:N1201)</f>
        <v>11.39</v>
      </c>
    </row>
    <row r="27" spans="1:18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Q27" t="s">
        <v>4288</v>
      </c>
      <c r="R27">
        <f>MAX(N2:N1201)</f>
        <v>3456.4</v>
      </c>
    </row>
    <row r="28" spans="1:18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8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8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8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8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analysis</vt:lpstr>
      <vt:lpstr>Payment analysis</vt:lpstr>
      <vt:lpstr>Order status analysis</vt:lpstr>
      <vt:lpstr>Refferal analysis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Cyber World</cp:lastModifiedBy>
  <dcterms:created xsi:type="dcterms:W3CDTF">2025-06-21T13:19:12Z</dcterms:created>
  <dcterms:modified xsi:type="dcterms:W3CDTF">2026-07-26T19:42:41Z</dcterms:modified>
</cp:coreProperties>
</file>